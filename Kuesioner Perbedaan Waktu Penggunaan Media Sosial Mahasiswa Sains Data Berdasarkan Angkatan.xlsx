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si\Documents\React-Native-Anwar\"/>
    </mc:Choice>
  </mc:AlternateContent>
  <xr:revisionPtr revIDLastSave="0" documentId="8_{7B7B12E0-1495-4FB5-BB4D-5108EE32716E}" xr6:coauthVersionLast="47" xr6:coauthVersionMax="47" xr10:uidLastSave="{00000000-0000-0000-0000-000000000000}"/>
  <bookViews>
    <workbookView xWindow="14295" yWindow="0" windowWidth="14610" windowHeight="15585" activeTab="2" xr2:uid="{00000000-000D-0000-FFFF-FFFF00000000}"/>
  </bookViews>
  <sheets>
    <sheet name="Form Responses 1" sheetId="1" r:id="rId1"/>
    <sheet name="T2" sheetId="4" r:id="rId2"/>
    <sheet name="MANOVA" sheetId="5"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44" i="5" l="1"/>
  <c r="I11" i="4"/>
  <c r="K7" i="4" a="1"/>
  <c r="K7" i="4" s="1"/>
  <c r="H8" i="4"/>
  <c r="I7" i="4"/>
  <c r="I8" i="4"/>
  <c r="H7" i="4"/>
  <c r="J15" i="5"/>
  <c r="J14" i="5"/>
  <c r="J13" i="5"/>
  <c r="J12" i="5"/>
  <c r="J11" i="5"/>
  <c r="J10" i="5"/>
  <c r="J9" i="5"/>
  <c r="J8" i="5"/>
  <c r="J7" i="5"/>
  <c r="G4" i="5"/>
  <c r="L3" i="5"/>
  <c r="J3" i="5"/>
  <c r="G3" i="5"/>
  <c r="L2" i="5"/>
  <c r="J2" i="5"/>
  <c r="G10" i="5" s="1"/>
  <c r="I10" i="5" s="1"/>
  <c r="H24" i="5" s="1"/>
  <c r="G2" i="5"/>
  <c r="G5" i="5" s="1"/>
  <c r="L1" i="5"/>
  <c r="J1" i="5"/>
  <c r="G9" i="5" s="1"/>
  <c r="I9" i="5" s="1"/>
  <c r="G26" i="5" s="1"/>
  <c r="F8" i="4"/>
  <c r="E8" i="4"/>
  <c r="F7" i="4"/>
  <c r="E7" i="4"/>
  <c r="H4" i="4"/>
  <c r="G4" i="4"/>
  <c r="F4" i="4"/>
  <c r="H3" i="4"/>
  <c r="G3" i="4"/>
  <c r="F3" i="4"/>
  <c r="I4" i="4" l="1"/>
  <c r="I3" i="4"/>
  <c r="K10" i="5"/>
  <c r="H18" i="5" s="1"/>
  <c r="H21" i="5" s="1"/>
  <c r="K15" i="5"/>
  <c r="I20" i="5" s="1"/>
  <c r="G15" i="5"/>
  <c r="I15" i="5" s="1"/>
  <c r="I26" i="5" s="1"/>
  <c r="G11" i="5"/>
  <c r="I11" i="5" s="1"/>
  <c r="H25" i="5" s="1"/>
  <c r="K11" i="5"/>
  <c r="H19" i="5" s="1"/>
  <c r="G7" i="5"/>
  <c r="I7" i="5" s="1"/>
  <c r="G24" i="5" s="1"/>
  <c r="G13" i="5"/>
  <c r="I13" i="5" s="1"/>
  <c r="I24" i="5" s="1"/>
  <c r="K7" i="5"/>
  <c r="G18" i="5" s="1"/>
  <c r="K13" i="5"/>
  <c r="I18" i="5" s="1"/>
  <c r="G8" i="5"/>
  <c r="I8" i="5" s="1"/>
  <c r="G25" i="5" s="1"/>
  <c r="G14" i="5"/>
  <c r="I14" i="5" s="1"/>
  <c r="I25" i="5" s="1"/>
  <c r="G12" i="5"/>
  <c r="I12" i="5" s="1"/>
  <c r="H26" i="5" s="1"/>
  <c r="K14" i="5"/>
  <c r="I19" i="5" s="1"/>
  <c r="K9" i="5"/>
  <c r="G20" i="5" s="1"/>
  <c r="G23" i="5" s="1"/>
  <c r="F11" i="4" l="1" a="1"/>
  <c r="F11" i="4" s="1"/>
  <c r="I23" i="5"/>
  <c r="I22" i="5"/>
  <c r="I21" i="5"/>
  <c r="G21" i="5"/>
  <c r="H22" i="5"/>
  <c r="K12" i="5"/>
  <c r="H20" i="5" s="1"/>
  <c r="H23" i="5" s="1"/>
  <c r="K8" i="5"/>
  <c r="G19" i="5" s="1"/>
  <c r="G22" i="5" s="1"/>
  <c r="G42" i="5" l="1"/>
  <c r="G43"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<sst xmlns="http://schemas.openxmlformats.org/spreadsheetml/2006/main" count="246" uniqueCount="234">
  <si>
    <t>Timestamp</t>
  </si>
  <si>
    <t>Nama Lengkap</t>
  </si>
  <si>
    <t>Tahun Angkatan</t>
  </si>
  <si>
    <t xml:space="preserve">Berapa rata-rata waktu penggunaan Instagram per hari (dalam menit)  </t>
  </si>
  <si>
    <t xml:space="preserve">Berapa rata-rata waktu penggunaan TikTok per hari (dalam menit)  </t>
  </si>
  <si>
    <t xml:space="preserve">Berapa rata-rata waktu penggunaan X per hari (dalam menit)  </t>
  </si>
  <si>
    <t>Ceritakan secara singkat, bagaimana kebiasaan penggunaan ketiga media sosial tersebut memengaruhi fokus atau produktivitas belajarmu sehari-hari?</t>
  </si>
  <si>
    <t>Dari ketiga platform tersebut (Instagram, TikTok, X), mana yang menurutmu memiliki konten paling adiktif/susah ditinggalkan, dan apa alasan utamanya?</t>
  </si>
  <si>
    <t>Favian</t>
  </si>
  <si>
    <t>sering kebablasan kalau udah membuka aplikasi tersebut</t>
  </si>
  <si>
    <t>tiktok, setiap membukanya pasti kecanduan untuk lihat konten²nya</t>
  </si>
  <si>
    <t>Muhammad Faiz Ardiansyah</t>
  </si>
  <si>
    <t xml:space="preserve">Jika tidak membuka salah satu media sosial terasa ada yang kurang dalam hidup. </t>
  </si>
  <si>
    <t xml:space="preserve">Instagram, banyak memberika informasi terbaru tentang berita. </t>
  </si>
  <si>
    <t>Sony Dwi Prasetyo</t>
  </si>
  <si>
    <t>Tidak saya cendrung ke youtube</t>
  </si>
  <si>
    <t>Instagram, karena menghibur</t>
  </si>
  <si>
    <t>Khatrunnada Salsabila Zega</t>
  </si>
  <si>
    <t>Karena ketiga media sosial itu jarang saya gunakan sebenarnya tidak terlalu mempengaruhi fokus (kecuali tiktok) dan terkadang juga efeknya untuk mempengaruhi produktivitas belajar</t>
  </si>
  <si>
    <t>TikTok, karena algoritma nya sangat paham apa yang ingin dilihat terutama pada generasi muda. Dan biasanya hal² trending itu asal muasalnya dari TikTok.</t>
  </si>
  <si>
    <t xml:space="preserve">Muhammad </t>
  </si>
  <si>
    <t>Tidak terlalu mempengaruhi secara langsung</t>
  </si>
  <si>
    <t>Instagram, platform Instagram lebih mudah digunakan dan kontennya lebih relevan dengan yang saya inginkan.</t>
  </si>
  <si>
    <t xml:space="preserve">Atlantis Cartenzian Arkadya </t>
  </si>
  <si>
    <t xml:space="preserve">fokus belajar saya sedikit terganggu karena ingin scroll reels </t>
  </si>
  <si>
    <t>Instagram, menarik</t>
  </si>
  <si>
    <t>Toha Aminudin</t>
  </si>
  <si>
    <t>Tidak ada</t>
  </si>
  <si>
    <t>Ntahlah</t>
  </si>
  <si>
    <t>Alfath Rozaqi</t>
  </si>
  <si>
    <t>Lengah dikit scroll gajadi belajar padahal buka laptop.</t>
  </si>
  <si>
    <t>Tiktok dan ig reels karena tidak ada habisnya.</t>
  </si>
  <si>
    <t>Nur Yuliyanti</t>
  </si>
  <si>
    <t>Sedikit cerita, ketika saya sedang semangat-semangatnya mengerjakan tugas dan by hp, ketika saya ingin melihat catatan yang ada di papan tulis lewat whatsapp saya kadang terdistraksi malah membuka instagram dan berakibat scroll reels berjam-jam, alhasil tugas jadi tidak dikerjakan dan ditunda sehingga hasil pengerjaan saya tidak maksimal</t>
  </si>
  <si>
    <t>TikTok, karena di aplikasi TikTok itu algoritma nya sangat mudah, tinggal scroll konten, namun disisi lain ada penelitian jika otak kita sering mengkonsumsi konten pendek maka otak kita akan mengalami kebusukan atau brainroot</t>
  </si>
  <si>
    <t xml:space="preserve">Anwar Rohmadi </t>
  </si>
  <si>
    <t>63.5</t>
  </si>
  <si>
    <t xml:space="preserve">Sangat memengaruhi karena mudah terdistrack atau terganggu, sehingga kalau belajar jangan sampai buka sosial media </t>
  </si>
  <si>
    <t xml:space="preserve">Tiktok, karena kontennya lucu lucu dana bikin ketagihan </t>
  </si>
  <si>
    <t>Lia Restuning Ati</t>
  </si>
  <si>
    <t>Terkadang mengganggu produktivitas</t>
  </si>
  <si>
    <t>Tiktok, karena banyaknya konten</t>
  </si>
  <si>
    <t xml:space="preserve">Diva Octavia Canaya Salsabilla </t>
  </si>
  <si>
    <t>Belajar dan mengerjakan tugas jadi sering terganggu karena pengennya scroll terus</t>
  </si>
  <si>
    <t xml:space="preserve">Tiktok, karena konten yg lewat menarik </t>
  </si>
  <si>
    <t>Sandy Fredella Elvaretta</t>
  </si>
  <si>
    <t>penggunaan medsos tersebut menggangu fokus saya saat belajar</t>
  </si>
  <si>
    <t>tiktok</t>
  </si>
  <si>
    <t>Galih Fajar Nugroho</t>
  </si>
  <si>
    <t>sebenarnya penggunaan ketiga platform media sosial tersebut malah mengurangi waktu produktivitas dan fokus untuk belajar, dan sekarang penggunaan media sosial saya gunakan jika saat beristirahat dari kegiatan produktivitas agar tidak mengurangi fokus</t>
  </si>
  <si>
    <t>tiktok, karena saya jarang menggunakan instagram dan lebih banyak penggunaan tiktok, saya rasa tiktok lebih update mengenai berita/tren sekarang</t>
  </si>
  <si>
    <t>Izza Nur Baity Candra Yuliansyah</t>
  </si>
  <si>
    <t>Honestly, it does affect my focus and productivity, but not in a completely bad way. X kadang malah bantu aku dapet new insights dari berbagai pembahasan, so it feels somehow productive. Kalau instagram, aku jarang bgt buka kecuali lagi pengen upload, jadi almost no effect. Nahhh yang paling ngaruh itu TikTok cuz once i start scrolling, it’s easy to lose track of time dan itu bisa ganggu sm jadwalku di hari itu mau ngapain aja (nyuci, nugas, setrika, etc). Tapi karena aku lumayan OK jg self controlnya (#izin), like filtering what i watch, blocking konten yang nggak penting, sm tahu kapan aku harus berhenti buat scroll. I try to keep it under control biar nggak ganggu produktivitas aku too much.</t>
  </si>
  <si>
    <t xml:space="preserve">I choose X cuz its "the most addictive and hardest to leave". The main reason is karena algoritmanya bener-bener tailored ke kita. A lot of good information that i've consumed dr berbagai pembahasan, which is good for me cuz rata-rata aku juga baru tahu dari platform ini. Kalau instagram, idk why aku cuma make kalo pengen upload atau update di sec acc. Imo instagram is a lil bit toxic lol. Hal yang serupa juga terjadi di TikTok, bedanya aku bener-bener strict with my boundaries sama apa yg lewat di fyp aku. I often block content creators or someone yg problematik, disrespectful, suka harras someone, suka cari masalah, suka nyindir, etc. YK lahh in this era banyak bgt konten kaya gitu &amp; it just ruins my peace when i scroll. So ya.. this diva chooses peace over everything else </t>
  </si>
  <si>
    <t>Damar Januar Jorgie Marseno</t>
  </si>
  <si>
    <t xml:space="preserve">Sangat berpengaruh, kadang jadi lupa waktu. </t>
  </si>
  <si>
    <t>Reals ig</t>
  </si>
  <si>
    <t>Pandu wijaya</t>
  </si>
  <si>
    <t xml:space="preserve">Membuat saya lebih santai setelah menjalani kehidupan yang melelahkan </t>
  </si>
  <si>
    <t xml:space="preserve">Gaada semuanya bisa ditinggal kalau ada kerjaan </t>
  </si>
  <si>
    <t>Salma Alya Sabila</t>
  </si>
  <si>
    <t>semakin lama menggunakan media sosial membuat saya semakin kehilangan fokus</t>
  </si>
  <si>
    <t>tiktok karena isinya random jadinya menarik</t>
  </si>
  <si>
    <t>Ahmad Ruhayani Azis</t>
  </si>
  <si>
    <t>Sebagai media informasi dan salah satu sumber pengetahuan</t>
  </si>
  <si>
    <t>Instagram, algoritmanya oke, pengguna lama juga</t>
  </si>
  <si>
    <t>Phallas Alfara</t>
  </si>
  <si>
    <t>tidak, semua ada waktunya</t>
  </si>
  <si>
    <t>Tiktok, komentarnya lucu² bikin ketawa</t>
  </si>
  <si>
    <t xml:space="preserve">Bening Salsabila </t>
  </si>
  <si>
    <t>dari ketiga media sosial tersebut paling sering menggunakan instagram karena sudah terbiasa dan otomatis pikiran langsung mengarah ke sana, hal tersebut sangat memengaruhi fokus belajar saya ketika membuka hp</t>
  </si>
  <si>
    <t xml:space="preserve">Menurut saya instagram karena saya paling lama buka instagram </t>
  </si>
  <si>
    <t>Hani Nuraini</t>
  </si>
  <si>
    <t>Saya pribadi mudah terdistract pada notif sosmed, yang mempengaruhi fokus dalam mengerjakan tugas atau belajar saya</t>
  </si>
  <si>
    <t>Tiktok, karena konten yang diberikan selalu asik dan sesuai minat/favorit</t>
  </si>
  <si>
    <t xml:space="preserve">Melani Yusi Aryanda </t>
  </si>
  <si>
    <t>-</t>
  </si>
  <si>
    <t>X</t>
  </si>
  <si>
    <t xml:space="preserve">Izzat Muhammad Akhsan </t>
  </si>
  <si>
    <t xml:space="preserve">Instagram membuat saya kurang produktif </t>
  </si>
  <si>
    <t>Instagram, karena reels-nya asik²</t>
  </si>
  <si>
    <t>Aqila Salsabila</t>
  </si>
  <si>
    <t>Menurutku sih media sosial itu ngaruh ke fokus belajar. Kadang niatnya cuma mau buka sebentar buat refreshing, tapi malah jadi keterusan scroll. Walau kadang bisa dapet info yang penting dari media sosial itu sih</t>
  </si>
  <si>
    <t>Menurutku instagram sama tiktok, soalnya isinya berupa video pendek gitu jadi keterusan scroll</t>
  </si>
  <si>
    <t>HAYA NUR FADHILAH</t>
  </si>
  <si>
    <t>menggunakan media sosial ketika sedang refreshing saja, ketika belajar sangat disarankan hp nya dijauhin dlu biar ga ke distrack pengen buka hp trs</t>
  </si>
  <si>
    <t>Tiktok, karena lebih nyaman cari info disitu</t>
  </si>
  <si>
    <t xml:space="preserve">Anggita Puspitaningrum </t>
  </si>
  <si>
    <t>Penggunaan media sosial terkadang membuat saya malas mengerjakan tugas.</t>
  </si>
  <si>
    <t>TikTok 
Karena lebih menarik</t>
  </si>
  <si>
    <t>Happy Ending Forever</t>
  </si>
  <si>
    <t>Mendistraksi pol</t>
  </si>
  <si>
    <t>Tiktok, video lucu, video kucing, berita yang lagi panas</t>
  </si>
  <si>
    <t>Muhammad Rasyid Arrafi</t>
  </si>
  <si>
    <t>Lumayan mempengaruhi, apalagi kalau sudah terlalu asik scroll dan ada tugas pasti tertunda</t>
  </si>
  <si>
    <t>Tiktok, karena algoritmanya sesuai dengan apa yang saya sukai</t>
  </si>
  <si>
    <t>Melani</t>
  </si>
  <si>
    <t>biasa aja</t>
  </si>
  <si>
    <t>x</t>
  </si>
  <si>
    <t>Kafka Afifah Deniarsya</t>
  </si>
  <si>
    <t>Saya terkadang kebawa arus ketika bermain tiktok</t>
  </si>
  <si>
    <t>Tiktok karena sudah terbiasa bermain tiktok, di ig hanya menonton story orang lain dan upload sedikit sedikit</t>
  </si>
  <si>
    <t>Anjani Nurina Afiffah Tiara</t>
  </si>
  <si>
    <t>kadang membuat produktivitas belajar menurun, tetapi juga bisa membuat saya terhibur jika stress dengan tugas kuliah</t>
  </si>
  <si>
    <t xml:space="preserve">Tik tok
karena update terus </t>
  </si>
  <si>
    <t>Fatecha athalla Ahmad</t>
  </si>
  <si>
    <t>lebih sering scroll meme untuk hiburan di instagram</t>
  </si>
  <si>
    <t>instagram karena penggunaannya praktis</t>
  </si>
  <si>
    <t>Muhammad Fathir Raihan Al Farici</t>
  </si>
  <si>
    <t>Aku biasanya pakai Instagram dan TikTok masing-masing sekitar 120 menit sehari, dan itu lumayan ngaruh ke fokus belajar. Awalnya cuma buka bentar pas istirahat, tapi sering keterusan scrolling lama banget. Akhirnya waktu belajar jadi kepotong-potong, dan pas mau balik fokus tuh agak susah. Kalau X aku nggak pakai, jadi nggak ada pengaruh dari situ.</t>
  </si>
  <si>
    <t>Dari ketiganya, menurutku TikTok paling adiktif dan susah ditinggalin. Soalnya videonya pendek-pendek tapi terus nyambung, dan algoritmanya kayak ngerti banget apa yang kita suka. Jadi bawaannya pengen nonton terus tanpa sadar waktu udah habis banyak.</t>
  </si>
  <si>
    <t xml:space="preserve">Fakhri Ramadhan </t>
  </si>
  <si>
    <t xml:space="preserve">Sangat berpengaruh saat gabut </t>
  </si>
  <si>
    <t xml:space="preserve">Tiktok, berisi informasi yg cepat berubah </t>
  </si>
  <si>
    <t>Zahra Naviatu Rohmah</t>
  </si>
  <si>
    <t xml:space="preserve">Menurut saya karna sudah terlalu nyaman dengan penggunaan media sosial sangat susah untuk berhenti apalagi fokus pada produktivitas lainnya </t>
  </si>
  <si>
    <t>Tiktok, karna banyaknya konten menarik</t>
  </si>
  <si>
    <t>Vya</t>
  </si>
  <si>
    <t>tiktok bikin lupa waktu</t>
  </si>
  <si>
    <t>ramdhan ibrahim</t>
  </si>
  <si>
    <t>utamanya tiktok dan reels ig dengab algoritma scrooling tanpa hentinya sering membuat saya lupa kehidupan nyata. masalah produktivitas tetap bisa fokus</t>
  </si>
  <si>
    <t>tiktok, personalisasi algortima terbaik</t>
  </si>
  <si>
    <t xml:space="preserve">Mu'taz Nafidz Husein Asy Syarafi </t>
  </si>
  <si>
    <t>menurut saya, kebiasaan penggunaan media sosial diatas dapat mempengaruhi sistem pembelajaran... yaah, karna terkadang fokus bisa ambyar/buyar dikarenakan terlena akan scroll" medsos diatas</t>
  </si>
  <si>
    <t>tiktok sih, karna menurut saya media tersebut lebih relevan/gampang digunakan... mudah digunakan buat update informasi, ketimbang medsos" lainnya</t>
  </si>
  <si>
    <t>saffana zahirah</t>
  </si>
  <si>
    <t>mempengaruhi soalnya kadang kalau niat mau belajar trs ngga sengaja mbukak tiktok atau ig itu jdi kelamaan diaplikasi tersebut jdi fokus belajarnya terganggu</t>
  </si>
  <si>
    <t>menurut saya X si soalnya saya tidak pernah memakai medsos tersebut jdinya kurang tau</t>
  </si>
  <si>
    <t>Fakhrul Alan Baskoro</t>
  </si>
  <si>
    <t xml:space="preserve">0 (sudah hampir tidak pernah lagi) </t>
  </si>
  <si>
    <t xml:space="preserve">0 (ini juga jarang banget) </t>
  </si>
  <si>
    <t>Hanya untuk bahan refreshing dikala Burnout, namun masalahnya terkadang kebablasan</t>
  </si>
  <si>
    <t>Instagram, reels nya bagus bagus dan cakupannya lebih luas untuk dipilih waktu di beranda dibandingkan TikTok kebanyakan cuma scroll terus menerus yang membuat bosan</t>
  </si>
  <si>
    <t>Hasan Adit Mualim</t>
  </si>
  <si>
    <t>Saat mau mengerjakan tugas atau belajar materi tiba-tiba buka medsos, apalagi kalau matkul yang ada matematikanya.</t>
  </si>
  <si>
    <t>Instagram, karena rekomendasi kontennya yang sering sesuai dengan minat jadi tanpa sadar scroll lama</t>
  </si>
  <si>
    <t>Naufal Ajwa Nurfarros</t>
  </si>
  <si>
    <t>kalau bosan lihat Ig, kalau X kadang-kadang cuman untuk ikut nimbrung dengan apa yang sedang trending</t>
  </si>
  <si>
    <t>Instagram</t>
  </si>
  <si>
    <t>Arkanigara Reifan Khairundaya</t>
  </si>
  <si>
    <t>Sebenarnya tidak terlalu berpengaruh</t>
  </si>
  <si>
    <t>Tiktok, karena instagram dan x tidak membuat saya tertarik</t>
  </si>
  <si>
    <t>Julia Indriana</t>
  </si>
  <si>
    <t>Sebenernya, hobi scrolling TikTok dan Instagram itu jadi penghambat besar buat aku. Sering banget niatnya cuma mau lihat sebentar, tapi malah kebablasan sampai berjam-jam. Kalau udah di titik itu, rasanya susah banget buat 'balik' ke dunia nyata. Ujung-ujungnya jadi mager parah dan nggak punya tenaga lagi buat sekadar buka buku atau nyicil tugas.</t>
  </si>
  <si>
    <t>tik tok, alasanya karena banyak konten yg menghibur, apalagi pas buka komen asbun</t>
  </si>
  <si>
    <t xml:space="preserve">zahwa vierizqa </t>
  </si>
  <si>
    <t xml:space="preserve">beberapa bisa digunakan untuk belajar, tapi terkadang lengah akhirnya scrool dann lupa dengan tugas yang akan dikerjakan </t>
  </si>
  <si>
    <t>tiktok &amp; ig karena banyak info update yang tampilannya enak diliat dan gampang dicari</t>
  </si>
  <si>
    <t>Najwa Hira</t>
  </si>
  <si>
    <t>kadang kalau udh kelamaan jadi males itu yg paling mengganggu</t>
  </si>
  <si>
    <t>tiktok, seru ajaa</t>
  </si>
  <si>
    <t xml:space="preserve">Syifa Aulia Rahmashodiq </t>
  </si>
  <si>
    <t>Biasa saja</t>
  </si>
  <si>
    <t>Tiktok 
Karna banyak konten editan fanbase kpop di tiktok yang seru untuk ditonton, dan pencariannya lebih mudah daripada di Instagram</t>
  </si>
  <si>
    <t xml:space="preserve">Intan Indrasara Priyanto </t>
  </si>
  <si>
    <t>Jujur saja, cukup mengganggu waktu belajar/fokus sehari-hari sih. Sering niatnya cuma mau buka sebentar buat refreshing atau sekadar cek notifikasi, tapi malah sering kebablasan sampai lupa waktu. Jd tugas yg harusnya selesai lebih awal malah jd ketunda</t>
  </si>
  <si>
    <t>TikTok, karena TikTok itu adiktif banget kita nggak perlu repot milih tontonan semuanya otomatis dan pas banget sama selera. Trs gerakan scroll-nya jg dibikin semulus mungkin, trs ditambah format video satu layar penuh yang bikinn makkin betah</t>
  </si>
  <si>
    <t>Ridho Mustaqim</t>
  </si>
  <si>
    <t>Meskipun saya hanya mengakses media sosial setelah kegiatan belajar selesai, kebiasaan ini tetap cukup mengganggu produktivitas karena sering kali waktu istirahat singkat berubah menjadi durasi scrolling yang panjang—terutama pada TikTok—sehingga menggeser jadwal belajar yang sudah saya rencanakan, khususnya di hari libur. Sebagai solusi, saya menerapkan sistem pembatasan waktu dengan notifikasi peringatan berkala yang muncul saat penggunaan melebihi batas yang ditentukan, yang terbukti membantu mengembalikan fokus dan disiplin belajar secara bertahap.</t>
  </si>
  <si>
    <t>TikTok yang paling adiktif menurut saya, karena algoritmanya selalu memberikan konten yang sesuai dengan kesukaan/selera dari usernya — yang membuat sulit untuk berhenti.</t>
  </si>
  <si>
    <t xml:space="preserve">MUHAMMAD AZRIEL AL GHIFFARI </t>
  </si>
  <si>
    <t>Pada saat tertentu ketiga medsos tersebut menjadi distraksi yang serius dalam produktivitas belajar</t>
  </si>
  <si>
    <t>Tiktok</t>
  </si>
  <si>
    <t xml:space="preserve">Amel Nadhifatur Rohmi </t>
  </si>
  <si>
    <t>lupa waktu</t>
  </si>
  <si>
    <t>tiktok, videonya menarik</t>
  </si>
  <si>
    <t xml:space="preserve">Neny sulistiawati </t>
  </si>
  <si>
    <t>Kebiasaan penggunaan media sosial tersebut kadang mempengaruhi aktivitas belajar, kegiatan belajar berkurang karena terlalu lama menggunakan medsos tersebut</t>
  </si>
  <si>
    <t>TikTok, karena berbagai konten ada disana jadi untuk ditinggalkan lumayan susah, karena faktor kebiasaan juga</t>
  </si>
  <si>
    <t>Ravelino Bagas Pratama</t>
  </si>
  <si>
    <t xml:space="preserve">Instagram sangat kuat memengaruhi fokus saya dalam belajar dibandingkan dengan media sosial lainnya. </t>
  </si>
  <si>
    <t xml:space="preserve">Instagram, karena saya hanya sering menggunakan Instagram dibandingkan media sosial yang lain. </t>
  </si>
  <si>
    <t>Aufa Muhammad Fathin</t>
  </si>
  <si>
    <t>Scroll reels Instagram terkadang mendistrak ketika berniat ingin belajar</t>
  </si>
  <si>
    <t>Instagram, sangat relate dan beragam</t>
  </si>
  <si>
    <t>Apriliana Putri Maulikha</t>
  </si>
  <si>
    <t>Kebiasaan menggunakan media sosial memengaruhi produktivitas saya melalui fenomena context switching. Perpindahan fokus dari materi kuliah ke konten media sosial yang cepat dan beragam membuat otak saya lebih cepat lelah dan sulit untuk kembali masuk ke mode fokus yang dalam (deep work). Hal ini membuat pemahaman materi menjadi kurang maksimal jika dilakukan sambil membuka media sosial.</t>
  </si>
  <si>
    <t>Instagram, karena di sana saya bisa berinteraksi dengan banyak akun yang aktif dan juga ragam postingannya cukup banyak, sebenarnya tiktok juga susah ditinggalkan, karena kalau sudah fi halaman beranda (scroll vt) tiba2 lupa waktu dan jadi malas untuk melanjutkan kegiatan produktifitas saya, tapi karena akhir2 ini saya sering buka instagram jadi saya bisa setiap hari buka ig, apalagi saya cukup aktif di akun sosmed saya, jdi klo habis bikin postingan biasanya detiap jam wajib buka ig (bahkan di jalan juga buka ig) karena kalo buka tiktok biasanya cuman nyalain streak aja sih</t>
  </si>
  <si>
    <t xml:space="preserve">Fahra Indana Zulfa </t>
  </si>
  <si>
    <t>penggunaan medsos cukup mempengaruhi fokus belajar karena saat scroll medsos saya jadi mudah terdistraksi dan menunda-nunda tugas.</t>
  </si>
  <si>
    <t>menurut saya platfrom yg kontennya paling adiktif adalah X, karena banyak hal (informasi) yg trending (update) di X duluan daripada platfrom lain.</t>
  </si>
  <si>
    <t>Hamara Talia</t>
  </si>
  <si>
    <t>ketiganya mempengaruhi karena aku kalo pusing belajar harus refresing dengan menggunakan media sosial</t>
  </si>
  <si>
    <t>kalo untuk scroll aku lebih ke tiktok. tapi kalo share kehidupanku atau bikin konten aku lebih ke instagram</t>
  </si>
  <si>
    <t>Hana' Khoirotun Nisa'</t>
  </si>
  <si>
    <t>dengan adanya konten yang beragam dan singkat-singkat akan membuat otak kita merasa penuh dengan informasi yang menumpuk-numpuk.</t>
  </si>
  <si>
    <t>sebenarnya tidak susah untuk ditinggalkan, karena itu tergantung konten yang tersedia dan saya biasanya membuka sosial media karena sedang gabut atau sedang menunggu.</t>
  </si>
  <si>
    <t>Deanova Cella Fadila</t>
  </si>
  <si>
    <t>kalau lagi suntuk buntu pas belajar buka instagram atau tiktok, kalau lagi butuh insight kadang buka twitter</t>
  </si>
  <si>
    <t>tiktok, karena muncul video² lucu terus di algoritma ku</t>
  </si>
  <si>
    <t>Selisih</t>
  </si>
  <si>
    <t>N</t>
  </si>
  <si>
    <t>Y1..</t>
  </si>
  <si>
    <t>Y1.</t>
  </si>
  <si>
    <t>Y2..</t>
  </si>
  <si>
    <t>Y2.</t>
  </si>
  <si>
    <t>Y3..</t>
  </si>
  <si>
    <t>Y3.</t>
  </si>
  <si>
    <t>Total</t>
  </si>
  <si>
    <t>FK11</t>
  </si>
  <si>
    <t>JHKT11</t>
  </si>
  <si>
    <t>FK12</t>
  </si>
  <si>
    <t>JHKT12</t>
  </si>
  <si>
    <t>FK13</t>
  </si>
  <si>
    <t>JHKT13</t>
  </si>
  <si>
    <t>FK21</t>
  </si>
  <si>
    <t>JHKT21</t>
  </si>
  <si>
    <t>FK22</t>
  </si>
  <si>
    <t>JHKT22</t>
  </si>
  <si>
    <t>FK23</t>
  </si>
  <si>
    <t>JHKT23</t>
  </si>
  <si>
    <t>FK31</t>
  </si>
  <si>
    <t>JHKT31</t>
  </si>
  <si>
    <t>FK32</t>
  </si>
  <si>
    <t>JHKT32</t>
  </si>
  <si>
    <t>FK33</t>
  </si>
  <si>
    <t>JHKT33</t>
  </si>
  <si>
    <t>Perlakuan</t>
  </si>
  <si>
    <t>Galat ( JKP - JKT )</t>
  </si>
  <si>
    <t>Total (JKT)</t>
  </si>
  <si>
    <t>T2</t>
  </si>
  <si>
    <t>Alpha</t>
  </si>
  <si>
    <t>Chisquare</t>
  </si>
  <si>
    <t>Tolak H0, karena T2 lebih besar dari pada Chisquare</t>
  </si>
  <si>
    <t>Ragam Tidak Sama</t>
  </si>
  <si>
    <t>&gt;</t>
  </si>
  <si>
    <t>Matriks S1</t>
  </si>
  <si>
    <t>Matriks S2</t>
  </si>
  <si>
    <t xml:space="preserve">Inverse dari Matriks Gabungan </t>
  </si>
  <si>
    <t>Wilks Lamda</t>
  </si>
  <si>
    <t xml:space="preserve">F-hitung </t>
  </si>
  <si>
    <t>F-tabel</t>
  </si>
  <si>
    <t>db1</t>
  </si>
  <si>
    <t>db2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</si>
</sst>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scheme val="minor"/>
    </font>
    <font>
      <sz val="11"/>
      <color rgb="FF000000"/>
      <name val="Calibri"/>
    </font>
    <font>
      <sz val="11"/>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applyFont="1" applyAlignment="1"/>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xf numFmtId="0" fontId="1" fillId="0" borderId="0" xfId="0" applyFont="1"/>
    <xf numFmtId="0" fontId="1" fillId="0" borderId="0" xfId="0" applyFont="1" applyAlignment="1"/>
    <xf numFmtId="0" fontId="2" fillId="0" borderId="0" xfId="0" applyFont="1" applyAlignment="1"/>
    <xf numFmtId="0" fontId="3" fillId="0" borderId="0" xfId="0" applyFont="1" applyAlignment="1"/>
    <xf numFmtId="0" fontId="0" fillId="0" borderId="0" xfId="0"/>
    <xf numFmtId="0" fontId="0" fillId="0" borderId="0" xfId="0" applyFont="1" applyAlignment="1">
      <alignment horizontal="center"/>
    </xf>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Form Responses 1-style" pivot="0" count="4" xr9:uid="{00000000-0011-0000-FFFF-FFFF00000000}">
      <tableStyleElement type="wholeTable" size="0" dxfId="4"/>
      <tableStyleElement type="headerRow" dxfId="7"/>
      <tableStyleElement type="firstRowStripe" dxfId="6"/>
      <tableStyleElement type="secondRowStripe" dxfId="5"/>
    </tableStyle>
    <tableStyle name="Sheet5-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571500</xdr:colOff>
      <xdr:row>0</xdr:row>
      <xdr:rowOff>0</xdr:rowOff>
    </xdr:from>
    <xdr:ext cx="4124325" cy="1009650"/>
    <xdr:pic>
      <xdr:nvPicPr>
        <xdr:cNvPr id="2" name="image1.png" title="Gambar">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4</xdr:col>
      <xdr:colOff>685800</xdr:colOff>
      <xdr:row>26</xdr:row>
      <xdr:rowOff>104775</xdr:rowOff>
    </xdr:from>
    <xdr:to>
      <xdr:col>11</xdr:col>
      <xdr:colOff>575442</xdr:colOff>
      <xdr:row>39</xdr:row>
      <xdr:rowOff>95250</xdr:rowOff>
    </xdr:to>
    <xdr:pic>
      <xdr:nvPicPr>
        <xdr:cNvPr id="2" name="Picture 1">
          <a:extLst>
            <a:ext uri="{FF2B5EF4-FFF2-40B4-BE49-F238E27FC236}">
              <a16:creationId xmlns:a16="http://schemas.microsoft.com/office/drawing/2014/main" id="{E99EF3D9-5778-A2D9-F621-FD24350CBB31}"/>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1610975" y="5305425"/>
          <a:ext cx="6033267" cy="24384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H61">
  <tableColumns count="8">
    <tableColumn id="1" xr3:uid="{00000000-0010-0000-0000-000001000000}" name="Timestamp"/>
    <tableColumn id="2" xr3:uid="{00000000-0010-0000-0000-000002000000}" name="Nama Lengkap"/>
    <tableColumn id="3" xr3:uid="{00000000-0010-0000-0000-000003000000}" name="Tahun Angkatan"/>
    <tableColumn id="4" xr3:uid="{00000000-0010-0000-0000-000004000000}" name="Berapa rata-rata waktu penggunaan Instagram per hari (dalam menit)  "/>
    <tableColumn id="5" xr3:uid="{00000000-0010-0000-0000-000005000000}" name="Berapa rata-rata waktu penggunaan TikTok per hari (dalam menit)  "/>
    <tableColumn id="6" xr3:uid="{00000000-0010-0000-0000-000006000000}" name="Berapa rata-rata waktu penggunaan X per hari (dalam menit)  "/>
    <tableColumn id="7" xr3:uid="{00000000-0010-0000-0000-000007000000}" name="Ceritakan secara singkat, bagaimana kebiasaan penggunaan ketiga media sosial tersebut memengaruhi fokus atau produktivitas belajarmu sehari-hari?"/>
    <tableColumn id="8" xr3:uid="{00000000-0010-0000-0000-000008000000}" name="Dari ketiga platform tersebut (Instagram, TikTok, X), mana yang menurutmu memiliki konten paling adiktif/susah ditinggalkan, dan apa alasan utamanya?"/>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61"/>
  <sheetViews>
    <sheetView workbookViewId="0">
      <pane ySplit="1" topLeftCell="A39" activePane="bottomLeft" state="frozen"/>
      <selection pane="bottomLeft" activeCell="A59" sqref="A59:XFD62"/>
    </sheetView>
  </sheetViews>
  <sheetFormatPr defaultColWidth="12.5703125" defaultRowHeight="15.75" customHeight="1" x14ac:dyDescent="0.2"/>
  <cols>
    <col min="1" max="3" width="18.85546875" customWidth="1"/>
    <col min="4" max="7" width="37.5703125" customWidth="1"/>
    <col min="8" max="8" width="255.7109375" bestFit="1" customWidth="1"/>
    <col min="9" max="14" width="18.85546875" customWidth="1"/>
  </cols>
  <sheetData>
    <row r="1" spans="1:8" ht="22.5" customHeight="1" x14ac:dyDescent="0.2">
      <c r="A1" s="1" t="s">
        <v>0</v>
      </c>
      <c r="B1" s="1" t="s">
        <v>1</v>
      </c>
      <c r="C1" s="1" t="s">
        <v>2</v>
      </c>
      <c r="D1" s="1" t="s">
        <v>3</v>
      </c>
      <c r="E1" s="1" t="s">
        <v>4</v>
      </c>
      <c r="F1" s="1" t="s">
        <v>5</v>
      </c>
      <c r="G1" s="1" t="s">
        <v>6</v>
      </c>
      <c r="H1" s="1" t="s">
        <v>7</v>
      </c>
    </row>
    <row r="2" spans="1:8" ht="22.5" customHeight="1" x14ac:dyDescent="0.2">
      <c r="A2" s="2">
        <v>46129.669922199071</v>
      </c>
      <c r="B2" s="3" t="s">
        <v>8</v>
      </c>
      <c r="C2" s="3">
        <v>2025</v>
      </c>
      <c r="D2" s="3">
        <v>75</v>
      </c>
      <c r="E2" s="3">
        <v>30</v>
      </c>
      <c r="F2" s="3">
        <v>0</v>
      </c>
      <c r="G2" s="3" t="s">
        <v>9</v>
      </c>
      <c r="H2" s="3" t="s">
        <v>10</v>
      </c>
    </row>
    <row r="3" spans="1:8" ht="22.5" customHeight="1" x14ac:dyDescent="0.2">
      <c r="A3" s="2">
        <v>46129.685655543981</v>
      </c>
      <c r="B3" s="3" t="s">
        <v>11</v>
      </c>
      <c r="C3" s="3">
        <v>2025</v>
      </c>
      <c r="D3" s="3">
        <v>60</v>
      </c>
      <c r="E3" s="3">
        <v>180</v>
      </c>
      <c r="F3" s="3">
        <v>0</v>
      </c>
      <c r="G3" s="3" t="s">
        <v>12</v>
      </c>
      <c r="H3" s="3" t="s">
        <v>13</v>
      </c>
    </row>
    <row r="4" spans="1:8" ht="22.5" customHeight="1" x14ac:dyDescent="0.2">
      <c r="A4" s="2">
        <v>46129.821942708339</v>
      </c>
      <c r="B4" s="3" t="s">
        <v>14</v>
      </c>
      <c r="C4" s="3">
        <v>2025</v>
      </c>
      <c r="D4" s="3">
        <v>5</v>
      </c>
      <c r="E4" s="3">
        <v>0</v>
      </c>
      <c r="F4" s="3">
        <v>0</v>
      </c>
      <c r="G4" s="3" t="s">
        <v>15</v>
      </c>
      <c r="H4" s="3" t="s">
        <v>16</v>
      </c>
    </row>
    <row r="5" spans="1:8" ht="22.5" customHeight="1" x14ac:dyDescent="0.2">
      <c r="A5" s="2">
        <v>46130.407655497685</v>
      </c>
      <c r="B5" s="3" t="s">
        <v>17</v>
      </c>
      <c r="C5" s="3">
        <v>2024</v>
      </c>
      <c r="D5" s="3">
        <v>30</v>
      </c>
      <c r="E5" s="3">
        <v>90</v>
      </c>
      <c r="F5" s="3">
        <v>0</v>
      </c>
      <c r="G5" s="3" t="s">
        <v>18</v>
      </c>
      <c r="H5" s="3" t="s">
        <v>19</v>
      </c>
    </row>
    <row r="6" spans="1:8" ht="22.5" customHeight="1" x14ac:dyDescent="0.2">
      <c r="A6" s="2">
        <v>46130.40926325231</v>
      </c>
      <c r="B6" s="3" t="s">
        <v>20</v>
      </c>
      <c r="C6" s="3">
        <v>2025</v>
      </c>
      <c r="D6" s="3">
        <v>91</v>
      </c>
      <c r="E6" s="3">
        <v>115</v>
      </c>
      <c r="F6" s="3">
        <v>45</v>
      </c>
      <c r="G6" s="3" t="s">
        <v>21</v>
      </c>
      <c r="H6" s="3" t="s">
        <v>22</v>
      </c>
    </row>
    <row r="7" spans="1:8" ht="22.5" customHeight="1" x14ac:dyDescent="0.2">
      <c r="A7" s="2">
        <v>46130.456981157404</v>
      </c>
      <c r="B7" s="3" t="s">
        <v>23</v>
      </c>
      <c r="C7" s="3">
        <v>2024</v>
      </c>
      <c r="D7" s="3">
        <v>200</v>
      </c>
      <c r="E7" s="3">
        <v>60</v>
      </c>
      <c r="F7" s="3">
        <v>0</v>
      </c>
      <c r="G7" s="3" t="s">
        <v>24</v>
      </c>
      <c r="H7" s="3" t="s">
        <v>25</v>
      </c>
    </row>
    <row r="8" spans="1:8" ht="22.5" customHeight="1" x14ac:dyDescent="0.2">
      <c r="A8" s="2">
        <v>46130.458243703702</v>
      </c>
      <c r="B8" s="3" t="s">
        <v>26</v>
      </c>
      <c r="C8" s="3">
        <v>2025</v>
      </c>
      <c r="D8" s="3">
        <v>0</v>
      </c>
      <c r="E8" s="3">
        <v>0</v>
      </c>
      <c r="F8" s="3">
        <v>0</v>
      </c>
      <c r="G8" s="3" t="s">
        <v>27</v>
      </c>
      <c r="H8" s="3" t="s">
        <v>28</v>
      </c>
    </row>
    <row r="9" spans="1:8" ht="22.5" customHeight="1" x14ac:dyDescent="0.2">
      <c r="A9" s="2">
        <v>46130.459188298613</v>
      </c>
      <c r="B9" s="3" t="s">
        <v>29</v>
      </c>
      <c r="C9" s="3">
        <v>2023</v>
      </c>
      <c r="D9" s="3">
        <v>100</v>
      </c>
      <c r="E9" s="3">
        <v>140</v>
      </c>
      <c r="F9" s="3">
        <v>40</v>
      </c>
      <c r="G9" s="3" t="s">
        <v>30</v>
      </c>
      <c r="H9" s="3" t="s">
        <v>31</v>
      </c>
    </row>
    <row r="10" spans="1:8" ht="22.5" customHeight="1" x14ac:dyDescent="0.2">
      <c r="A10" s="2">
        <v>46130.477079282406</v>
      </c>
      <c r="B10" s="3" t="s">
        <v>32</v>
      </c>
      <c r="C10" s="3">
        <v>2024</v>
      </c>
      <c r="D10" s="3">
        <v>420</v>
      </c>
      <c r="E10" s="3">
        <v>240</v>
      </c>
      <c r="F10" s="3">
        <v>60</v>
      </c>
      <c r="G10" s="3" t="s">
        <v>33</v>
      </c>
      <c r="H10" s="3" t="s">
        <v>34</v>
      </c>
    </row>
    <row r="11" spans="1:8" ht="22.5" customHeight="1" x14ac:dyDescent="0.2">
      <c r="A11" s="2">
        <v>46130.478022824071</v>
      </c>
      <c r="B11" s="3" t="s">
        <v>35</v>
      </c>
      <c r="C11" s="3">
        <v>2024</v>
      </c>
      <c r="D11" s="3" t="s">
        <v>36</v>
      </c>
      <c r="E11" s="3">
        <v>97</v>
      </c>
      <c r="F11" s="3">
        <v>0</v>
      </c>
      <c r="G11" s="3" t="s">
        <v>37</v>
      </c>
      <c r="H11" s="3" t="s">
        <v>38</v>
      </c>
    </row>
    <row r="12" spans="1:8" ht="22.5" customHeight="1" x14ac:dyDescent="0.2">
      <c r="A12" s="2">
        <v>46130.478720625004</v>
      </c>
      <c r="B12" s="3" t="s">
        <v>39</v>
      </c>
      <c r="C12" s="3">
        <v>2025</v>
      </c>
      <c r="D12" s="3">
        <v>0</v>
      </c>
      <c r="E12" s="3">
        <v>180</v>
      </c>
      <c r="F12" s="3">
        <v>0</v>
      </c>
      <c r="G12" s="3" t="s">
        <v>40</v>
      </c>
      <c r="H12" s="3" t="s">
        <v>41</v>
      </c>
    </row>
    <row r="13" spans="1:8" ht="22.5" customHeight="1" x14ac:dyDescent="0.2">
      <c r="A13" s="2">
        <v>46130.480411053242</v>
      </c>
      <c r="B13" s="3" t="s">
        <v>42</v>
      </c>
      <c r="C13" s="3">
        <v>2023</v>
      </c>
      <c r="D13" s="3">
        <v>60</v>
      </c>
      <c r="E13" s="3">
        <v>240</v>
      </c>
      <c r="F13" s="3">
        <v>2</v>
      </c>
      <c r="G13" s="3" t="s">
        <v>43</v>
      </c>
      <c r="H13" s="3" t="s">
        <v>44</v>
      </c>
    </row>
    <row r="14" spans="1:8" ht="22.5" customHeight="1" x14ac:dyDescent="0.2">
      <c r="A14" s="2">
        <v>46130.496596261575</v>
      </c>
      <c r="B14" s="3" t="s">
        <v>45</v>
      </c>
      <c r="C14" s="3">
        <v>2024</v>
      </c>
      <c r="D14" s="3">
        <v>240</v>
      </c>
      <c r="E14" s="3">
        <v>240</v>
      </c>
      <c r="F14" s="3">
        <v>0</v>
      </c>
      <c r="G14" s="3" t="s">
        <v>46</v>
      </c>
      <c r="H14" s="3" t="s">
        <v>47</v>
      </c>
    </row>
    <row r="15" spans="1:8" ht="22.5" customHeight="1" x14ac:dyDescent="0.2">
      <c r="A15" s="2">
        <v>46130.50664201389</v>
      </c>
      <c r="B15" s="3" t="s">
        <v>48</v>
      </c>
      <c r="C15" s="3">
        <v>2024</v>
      </c>
      <c r="D15" s="3">
        <v>20</v>
      </c>
      <c r="E15" s="3">
        <v>80</v>
      </c>
      <c r="F15" s="3">
        <v>0</v>
      </c>
      <c r="G15" s="3" t="s">
        <v>49</v>
      </c>
      <c r="H15" s="3" t="s">
        <v>50</v>
      </c>
    </row>
    <row r="16" spans="1:8" ht="22.5" customHeight="1" x14ac:dyDescent="0.2">
      <c r="A16" s="2">
        <v>46130.507335972223</v>
      </c>
      <c r="B16" s="3" t="s">
        <v>51</v>
      </c>
      <c r="C16" s="3">
        <v>2023</v>
      </c>
      <c r="D16" s="3">
        <v>30</v>
      </c>
      <c r="E16" s="3">
        <v>80</v>
      </c>
      <c r="F16" s="3">
        <v>217</v>
      </c>
      <c r="G16" s="3" t="s">
        <v>52</v>
      </c>
      <c r="H16" s="3" t="s">
        <v>53</v>
      </c>
    </row>
    <row r="17" spans="1:8" ht="22.5" customHeight="1" x14ac:dyDescent="0.2">
      <c r="A17" s="2">
        <v>46130.512778356482</v>
      </c>
      <c r="B17" s="3" t="s">
        <v>54</v>
      </c>
      <c r="C17" s="3">
        <v>2025</v>
      </c>
      <c r="D17" s="3">
        <v>90</v>
      </c>
      <c r="E17" s="3">
        <v>0</v>
      </c>
      <c r="F17" s="3">
        <v>20</v>
      </c>
      <c r="G17" s="3" t="s">
        <v>55</v>
      </c>
      <c r="H17" s="3" t="s">
        <v>56</v>
      </c>
    </row>
    <row r="18" spans="1:8" ht="22.5" customHeight="1" x14ac:dyDescent="0.2">
      <c r="A18" s="2">
        <v>46130.757786921298</v>
      </c>
      <c r="B18" s="3" t="s">
        <v>57</v>
      </c>
      <c r="C18" s="3">
        <v>2024</v>
      </c>
      <c r="D18" s="3">
        <v>360</v>
      </c>
      <c r="E18" s="3">
        <v>180</v>
      </c>
      <c r="F18" s="3">
        <v>0</v>
      </c>
      <c r="G18" s="3" t="s">
        <v>58</v>
      </c>
      <c r="H18" s="3" t="s">
        <v>59</v>
      </c>
    </row>
    <row r="19" spans="1:8" ht="22.5" customHeight="1" x14ac:dyDescent="0.2">
      <c r="A19" s="2">
        <v>46130.82049484954</v>
      </c>
      <c r="B19" s="3" t="s">
        <v>60</v>
      </c>
      <c r="C19" s="3">
        <v>2024</v>
      </c>
      <c r="D19" s="3">
        <v>100</v>
      </c>
      <c r="E19" s="3">
        <v>300</v>
      </c>
      <c r="F19" s="3">
        <v>30</v>
      </c>
      <c r="G19" s="3" t="s">
        <v>61</v>
      </c>
      <c r="H19" s="3" t="s">
        <v>62</v>
      </c>
    </row>
    <row r="20" spans="1:8" ht="22.5" customHeight="1" x14ac:dyDescent="0.2">
      <c r="A20" s="2">
        <v>46131.48703452546</v>
      </c>
      <c r="B20" s="3" t="s">
        <v>63</v>
      </c>
      <c r="C20" s="3">
        <v>2024</v>
      </c>
      <c r="D20" s="3">
        <v>360</v>
      </c>
      <c r="E20" s="3">
        <v>60</v>
      </c>
      <c r="F20" s="3">
        <v>10</v>
      </c>
      <c r="G20" s="3" t="s">
        <v>64</v>
      </c>
      <c r="H20" s="3" t="s">
        <v>65</v>
      </c>
    </row>
    <row r="21" spans="1:8" ht="22.5" customHeight="1" x14ac:dyDescent="0.2">
      <c r="A21" s="2">
        <v>46131.790215682871</v>
      </c>
      <c r="B21" s="3" t="s">
        <v>66</v>
      </c>
      <c r="C21" s="3">
        <v>2024</v>
      </c>
      <c r="D21" s="3">
        <v>120</v>
      </c>
      <c r="E21" s="3">
        <v>90</v>
      </c>
      <c r="F21" s="3">
        <v>60</v>
      </c>
      <c r="G21" s="3" t="s">
        <v>67</v>
      </c>
      <c r="H21" s="3" t="s">
        <v>68</v>
      </c>
    </row>
    <row r="22" spans="1:8" ht="22.5" customHeight="1" x14ac:dyDescent="0.2">
      <c r="A22" s="2">
        <v>46131.839749814812</v>
      </c>
      <c r="B22" s="3" t="s">
        <v>69</v>
      </c>
      <c r="C22" s="3">
        <v>2024</v>
      </c>
      <c r="D22" s="3">
        <v>65</v>
      </c>
      <c r="E22" s="3">
        <v>6</v>
      </c>
      <c r="F22" s="3">
        <v>0</v>
      </c>
      <c r="G22" s="3" t="s">
        <v>70</v>
      </c>
      <c r="H22" s="3" t="s">
        <v>71</v>
      </c>
    </row>
    <row r="23" spans="1:8" ht="22.5" customHeight="1" x14ac:dyDescent="0.2">
      <c r="A23" s="2">
        <v>46131.912946759257</v>
      </c>
      <c r="B23" s="3" t="s">
        <v>72</v>
      </c>
      <c r="C23" s="3">
        <v>2025</v>
      </c>
      <c r="D23" s="3">
        <v>58</v>
      </c>
      <c r="E23" s="3">
        <v>260</v>
      </c>
      <c r="F23" s="3">
        <v>23</v>
      </c>
      <c r="G23" s="3" t="s">
        <v>73</v>
      </c>
      <c r="H23" s="3" t="s">
        <v>74</v>
      </c>
    </row>
    <row r="24" spans="1:8" ht="22.5" customHeight="1" x14ac:dyDescent="0.2">
      <c r="A24" s="2">
        <v>46131.916513935183</v>
      </c>
      <c r="B24" s="3" t="s">
        <v>75</v>
      </c>
      <c r="C24" s="3">
        <v>2024</v>
      </c>
      <c r="D24" s="3">
        <v>100</v>
      </c>
      <c r="E24" s="3">
        <v>100</v>
      </c>
      <c r="F24" s="3">
        <v>100</v>
      </c>
      <c r="G24" s="3" t="s">
        <v>76</v>
      </c>
      <c r="H24" s="3" t="s">
        <v>77</v>
      </c>
    </row>
    <row r="25" spans="1:8" ht="22.5" customHeight="1" x14ac:dyDescent="0.2">
      <c r="A25" s="2">
        <v>46132.357709780088</v>
      </c>
      <c r="B25" s="3" t="s">
        <v>78</v>
      </c>
      <c r="C25" s="3">
        <v>2023</v>
      </c>
      <c r="D25" s="3">
        <v>200</v>
      </c>
      <c r="E25" s="3">
        <v>20</v>
      </c>
      <c r="F25" s="3">
        <v>20</v>
      </c>
      <c r="G25" s="3" t="s">
        <v>79</v>
      </c>
      <c r="H25" s="3" t="s">
        <v>80</v>
      </c>
    </row>
    <row r="26" spans="1:8" ht="22.5" customHeight="1" x14ac:dyDescent="0.2">
      <c r="A26" s="2">
        <v>46132.368572187501</v>
      </c>
      <c r="B26" s="3" t="s">
        <v>81</v>
      </c>
      <c r="C26" s="3">
        <v>2024</v>
      </c>
      <c r="D26" s="3">
        <v>90</v>
      </c>
      <c r="E26" s="3">
        <v>90</v>
      </c>
      <c r="F26" s="3">
        <v>30</v>
      </c>
      <c r="G26" s="3" t="s">
        <v>82</v>
      </c>
      <c r="H26" s="3" t="s">
        <v>83</v>
      </c>
    </row>
    <row r="27" spans="1:8" ht="22.5" customHeight="1" x14ac:dyDescent="0.2">
      <c r="A27" s="2">
        <v>46132.49303351852</v>
      </c>
      <c r="B27" s="3" t="s">
        <v>84</v>
      </c>
      <c r="C27" s="3">
        <v>2024</v>
      </c>
      <c r="D27" s="3">
        <v>150</v>
      </c>
      <c r="E27" s="3">
        <v>120</v>
      </c>
      <c r="F27" s="3">
        <v>10</v>
      </c>
      <c r="G27" s="3" t="s">
        <v>85</v>
      </c>
      <c r="H27" s="3" t="s">
        <v>86</v>
      </c>
    </row>
    <row r="28" spans="1:8" ht="22.5" customHeight="1" x14ac:dyDescent="0.2">
      <c r="A28" s="2">
        <v>46132.772830925926</v>
      </c>
      <c r="B28" s="3" t="s">
        <v>87</v>
      </c>
      <c r="C28" s="3">
        <v>2024</v>
      </c>
      <c r="D28" s="3">
        <v>80</v>
      </c>
      <c r="E28" s="3">
        <v>100</v>
      </c>
      <c r="F28" s="3">
        <v>20</v>
      </c>
      <c r="G28" s="3" t="s">
        <v>88</v>
      </c>
      <c r="H28" s="3" t="s">
        <v>89</v>
      </c>
    </row>
    <row r="29" spans="1:8" ht="22.5" customHeight="1" x14ac:dyDescent="0.2">
      <c r="A29" s="2">
        <v>46132.851492141199</v>
      </c>
      <c r="B29" s="3" t="s">
        <v>90</v>
      </c>
      <c r="C29" s="3">
        <v>2024</v>
      </c>
      <c r="D29" s="3">
        <v>60</v>
      </c>
      <c r="E29" s="3">
        <v>120</v>
      </c>
      <c r="F29" s="3">
        <v>0</v>
      </c>
      <c r="G29" s="3" t="s">
        <v>91</v>
      </c>
      <c r="H29" s="3" t="s">
        <v>92</v>
      </c>
    </row>
    <row r="30" spans="1:8" ht="22.5" customHeight="1" x14ac:dyDescent="0.2">
      <c r="A30" s="2">
        <v>46132.853361759262</v>
      </c>
      <c r="B30" s="3" t="s">
        <v>93</v>
      </c>
      <c r="C30" s="3">
        <v>2024</v>
      </c>
      <c r="D30" s="3">
        <v>120</v>
      </c>
      <c r="E30" s="3">
        <v>180</v>
      </c>
      <c r="F30" s="3">
        <v>45</v>
      </c>
      <c r="G30" s="3" t="s">
        <v>94</v>
      </c>
      <c r="H30" s="3" t="s">
        <v>95</v>
      </c>
    </row>
    <row r="31" spans="1:8" ht="22.5" customHeight="1" x14ac:dyDescent="0.2">
      <c r="A31" s="2">
        <v>46132.854466481484</v>
      </c>
      <c r="B31" s="3" t="s">
        <v>96</v>
      </c>
      <c r="C31" s="3">
        <v>2024</v>
      </c>
      <c r="D31" s="3">
        <v>100</v>
      </c>
      <c r="E31" s="3">
        <v>100</v>
      </c>
      <c r="F31" s="3">
        <v>100</v>
      </c>
      <c r="G31" s="3" t="s">
        <v>97</v>
      </c>
      <c r="H31" s="3" t="s">
        <v>98</v>
      </c>
    </row>
    <row r="32" spans="1:8" ht="22.5" customHeight="1" x14ac:dyDescent="0.2">
      <c r="A32" s="2">
        <v>46132.854765370372</v>
      </c>
      <c r="B32" s="3" t="s">
        <v>99</v>
      </c>
      <c r="C32" s="3">
        <v>2025</v>
      </c>
      <c r="D32" s="3">
        <v>20</v>
      </c>
      <c r="E32" s="3">
        <v>150</v>
      </c>
      <c r="F32" s="3">
        <v>0</v>
      </c>
      <c r="G32" s="3" t="s">
        <v>100</v>
      </c>
      <c r="H32" s="3" t="s">
        <v>101</v>
      </c>
    </row>
    <row r="33" spans="1:8" ht="22.5" customHeight="1" x14ac:dyDescent="0.2">
      <c r="A33" s="2">
        <v>46132.854806180556</v>
      </c>
      <c r="B33" s="3" t="s">
        <v>102</v>
      </c>
      <c r="C33" s="3">
        <v>2025</v>
      </c>
      <c r="D33" s="3">
        <v>60</v>
      </c>
      <c r="E33" s="3">
        <v>180</v>
      </c>
      <c r="F33" s="3" t="s">
        <v>76</v>
      </c>
      <c r="G33" s="3" t="s">
        <v>103</v>
      </c>
      <c r="H33" s="3" t="s">
        <v>104</v>
      </c>
    </row>
    <row r="34" spans="1:8" ht="22.5" customHeight="1" x14ac:dyDescent="0.2">
      <c r="A34" s="2">
        <v>46132.855099085646</v>
      </c>
      <c r="B34" s="3" t="s">
        <v>105</v>
      </c>
      <c r="C34" s="3">
        <v>2025</v>
      </c>
      <c r="D34" s="3">
        <v>60</v>
      </c>
      <c r="E34" s="3">
        <v>5</v>
      </c>
      <c r="F34" s="3">
        <v>0</v>
      </c>
      <c r="G34" s="3" t="s">
        <v>106</v>
      </c>
      <c r="H34" s="3" t="s">
        <v>107</v>
      </c>
    </row>
    <row r="35" spans="1:8" ht="22.5" customHeight="1" x14ac:dyDescent="0.2">
      <c r="A35" s="2">
        <v>46132.855184548607</v>
      </c>
      <c r="B35" s="3" t="s">
        <v>108</v>
      </c>
      <c r="C35" s="3">
        <v>2024</v>
      </c>
      <c r="D35" s="3">
        <v>120</v>
      </c>
      <c r="E35" s="3">
        <v>120</v>
      </c>
      <c r="F35" s="3">
        <v>0</v>
      </c>
      <c r="G35" s="3" t="s">
        <v>109</v>
      </c>
      <c r="H35" s="3" t="s">
        <v>110</v>
      </c>
    </row>
    <row r="36" spans="1:8" ht="22.5" customHeight="1" x14ac:dyDescent="0.2">
      <c r="A36" s="2">
        <v>46132.855373969913</v>
      </c>
      <c r="B36" s="3" t="s">
        <v>111</v>
      </c>
      <c r="C36" s="3">
        <v>2025</v>
      </c>
      <c r="D36" s="3">
        <v>60</v>
      </c>
      <c r="E36" s="3">
        <v>90</v>
      </c>
      <c r="F36" s="3">
        <v>0</v>
      </c>
      <c r="G36" s="3" t="s">
        <v>112</v>
      </c>
      <c r="H36" s="3" t="s">
        <v>113</v>
      </c>
    </row>
    <row r="37" spans="1:8" ht="22.5" customHeight="1" x14ac:dyDescent="0.2">
      <c r="A37" s="2">
        <v>46132.856200960647</v>
      </c>
      <c r="B37" s="3" t="s">
        <v>114</v>
      </c>
      <c r="C37" s="3">
        <v>2025</v>
      </c>
      <c r="D37" s="3">
        <v>100</v>
      </c>
      <c r="E37" s="3">
        <v>140</v>
      </c>
      <c r="F37" s="3">
        <v>50</v>
      </c>
      <c r="G37" s="3" t="s">
        <v>115</v>
      </c>
      <c r="H37" s="3" t="s">
        <v>116</v>
      </c>
    </row>
    <row r="38" spans="1:8" ht="22.5" customHeight="1" x14ac:dyDescent="0.2">
      <c r="A38" s="2">
        <v>46132.858764699078</v>
      </c>
      <c r="B38" s="3" t="s">
        <v>117</v>
      </c>
      <c r="C38" s="3">
        <v>2024</v>
      </c>
      <c r="D38" s="3">
        <v>30</v>
      </c>
      <c r="E38" s="3">
        <v>90</v>
      </c>
      <c r="F38" s="3">
        <v>0</v>
      </c>
      <c r="G38" s="3" t="s">
        <v>118</v>
      </c>
      <c r="H38" s="3" t="s">
        <v>47</v>
      </c>
    </row>
    <row r="39" spans="1:8" ht="22.5" customHeight="1" x14ac:dyDescent="0.2">
      <c r="A39" s="2">
        <v>46132.859264791667</v>
      </c>
      <c r="B39" s="3" t="s">
        <v>119</v>
      </c>
      <c r="C39" s="3">
        <v>2023</v>
      </c>
      <c r="D39" s="3">
        <v>150</v>
      </c>
      <c r="E39" s="3">
        <v>110</v>
      </c>
      <c r="F39" s="3">
        <v>40</v>
      </c>
      <c r="G39" s="3" t="s">
        <v>120</v>
      </c>
      <c r="H39" s="3" t="s">
        <v>121</v>
      </c>
    </row>
    <row r="40" spans="1:8" ht="22.5" customHeight="1" x14ac:dyDescent="0.2">
      <c r="A40" s="2">
        <v>46132.859279317126</v>
      </c>
      <c r="B40" s="3" t="s">
        <v>122</v>
      </c>
      <c r="C40" s="3">
        <v>2025</v>
      </c>
      <c r="D40" s="3">
        <v>120</v>
      </c>
      <c r="E40" s="3">
        <v>300</v>
      </c>
      <c r="F40" s="3">
        <v>0</v>
      </c>
      <c r="G40" s="3" t="s">
        <v>123</v>
      </c>
      <c r="H40" s="3" t="s">
        <v>124</v>
      </c>
    </row>
    <row r="41" spans="1:8" ht="22.5" customHeight="1" x14ac:dyDescent="0.2">
      <c r="A41" s="2">
        <v>46132.859361388888</v>
      </c>
      <c r="B41" s="3" t="s">
        <v>125</v>
      </c>
      <c r="C41" s="3">
        <v>2025</v>
      </c>
      <c r="D41" s="3">
        <v>60</v>
      </c>
      <c r="E41" s="3">
        <v>120</v>
      </c>
      <c r="F41" s="3" t="s">
        <v>76</v>
      </c>
      <c r="G41" s="3" t="s">
        <v>126</v>
      </c>
      <c r="H41" s="3" t="s">
        <v>127</v>
      </c>
    </row>
    <row r="42" spans="1:8" ht="22.5" customHeight="1" x14ac:dyDescent="0.2">
      <c r="A42" s="2">
        <v>46132.86088043981</v>
      </c>
      <c r="B42" s="3" t="s">
        <v>128</v>
      </c>
      <c r="C42" s="3">
        <v>2025</v>
      </c>
      <c r="D42" s="3">
        <v>25</v>
      </c>
      <c r="E42" s="3" t="s">
        <v>129</v>
      </c>
      <c r="F42" s="3" t="s">
        <v>130</v>
      </c>
      <c r="G42" s="3" t="s">
        <v>131</v>
      </c>
      <c r="H42" s="3" t="s">
        <v>132</v>
      </c>
    </row>
    <row r="43" spans="1:8" ht="22.5" customHeight="1" x14ac:dyDescent="0.2">
      <c r="A43" s="2">
        <v>46132.86189025463</v>
      </c>
      <c r="B43" s="3" t="s">
        <v>133</v>
      </c>
      <c r="C43" s="3">
        <v>2025</v>
      </c>
      <c r="D43" s="3">
        <v>60</v>
      </c>
      <c r="E43" s="3">
        <v>0</v>
      </c>
      <c r="F43" s="3">
        <v>15</v>
      </c>
      <c r="G43" s="3" t="s">
        <v>134</v>
      </c>
      <c r="H43" s="3" t="s">
        <v>135</v>
      </c>
    </row>
    <row r="44" spans="1:8" ht="22.5" customHeight="1" x14ac:dyDescent="0.2">
      <c r="A44" s="2">
        <v>46132.862053425924</v>
      </c>
      <c r="B44" s="3" t="s">
        <v>136</v>
      </c>
      <c r="C44" s="3">
        <v>2024</v>
      </c>
      <c r="D44" s="3">
        <v>200</v>
      </c>
      <c r="E44" s="3">
        <v>0</v>
      </c>
      <c r="F44" s="3">
        <v>60</v>
      </c>
      <c r="G44" s="3" t="s">
        <v>137</v>
      </c>
      <c r="H44" s="3" t="s">
        <v>138</v>
      </c>
    </row>
    <row r="45" spans="1:8" ht="22.5" customHeight="1" x14ac:dyDescent="0.2">
      <c r="A45" s="2">
        <v>46132.862898472224</v>
      </c>
      <c r="B45" s="3" t="s">
        <v>139</v>
      </c>
      <c r="C45" s="3">
        <v>2025</v>
      </c>
      <c r="D45" s="3">
        <v>2</v>
      </c>
      <c r="E45" s="3">
        <v>150</v>
      </c>
      <c r="F45" s="3">
        <v>0</v>
      </c>
      <c r="G45" s="3" t="s">
        <v>140</v>
      </c>
      <c r="H45" s="3" t="s">
        <v>141</v>
      </c>
    </row>
    <row r="46" spans="1:8" ht="22.5" customHeight="1" x14ac:dyDescent="0.2">
      <c r="A46" s="2">
        <v>46132.863118738431</v>
      </c>
      <c r="B46" s="3" t="s">
        <v>142</v>
      </c>
      <c r="C46" s="3">
        <v>2025</v>
      </c>
      <c r="D46" s="3">
        <v>60</v>
      </c>
      <c r="E46" s="3">
        <v>240</v>
      </c>
      <c r="F46" s="3">
        <v>0</v>
      </c>
      <c r="G46" s="3" t="s">
        <v>143</v>
      </c>
      <c r="H46" s="3" t="s">
        <v>144</v>
      </c>
    </row>
    <row r="47" spans="1:8" ht="22.5" customHeight="1" x14ac:dyDescent="0.2">
      <c r="A47" s="2">
        <v>46132.863807245369</v>
      </c>
      <c r="B47" s="3" t="s">
        <v>145</v>
      </c>
      <c r="C47" s="3">
        <v>2025</v>
      </c>
      <c r="D47" s="3">
        <v>120</v>
      </c>
      <c r="E47" s="3">
        <v>180</v>
      </c>
      <c r="F47" s="3">
        <v>20</v>
      </c>
      <c r="G47" s="3" t="s">
        <v>146</v>
      </c>
      <c r="H47" s="3" t="s">
        <v>147</v>
      </c>
    </row>
    <row r="48" spans="1:8" ht="22.5" customHeight="1" x14ac:dyDescent="0.2">
      <c r="A48" s="2">
        <v>46132.865180231485</v>
      </c>
      <c r="B48" s="3" t="s">
        <v>148</v>
      </c>
      <c r="C48" s="3">
        <v>2025</v>
      </c>
      <c r="D48" s="3">
        <v>180</v>
      </c>
      <c r="E48" s="3">
        <v>300</v>
      </c>
      <c r="F48" s="3">
        <v>90</v>
      </c>
      <c r="G48" s="3" t="s">
        <v>149</v>
      </c>
      <c r="H48" s="3" t="s">
        <v>150</v>
      </c>
    </row>
    <row r="49" spans="1:8" ht="22.5" customHeight="1" x14ac:dyDescent="0.2">
      <c r="A49" s="2">
        <v>46132.866351319448</v>
      </c>
      <c r="B49" s="3" t="s">
        <v>151</v>
      </c>
      <c r="C49" s="3">
        <v>2025</v>
      </c>
      <c r="D49" s="3">
        <v>30</v>
      </c>
      <c r="E49" s="3">
        <v>150</v>
      </c>
      <c r="F49" s="3">
        <v>0</v>
      </c>
      <c r="G49" s="3" t="s">
        <v>152</v>
      </c>
      <c r="H49" s="3" t="s">
        <v>153</v>
      </c>
    </row>
    <row r="50" spans="1:8" ht="22.5" customHeight="1" x14ac:dyDescent="0.2">
      <c r="A50" s="4">
        <v>46132.874393773149</v>
      </c>
      <c r="B50" s="5" t="s">
        <v>154</v>
      </c>
      <c r="C50" s="5">
        <v>2023</v>
      </c>
      <c r="D50" s="5">
        <v>60</v>
      </c>
      <c r="E50" s="5">
        <v>60</v>
      </c>
      <c r="F50" s="5">
        <v>45</v>
      </c>
      <c r="G50" s="5" t="s">
        <v>155</v>
      </c>
      <c r="H50" s="5" t="s">
        <v>156</v>
      </c>
    </row>
    <row r="51" spans="1:8" ht="22.5" customHeight="1" x14ac:dyDescent="0.2">
      <c r="A51" s="4">
        <v>46132.915743668986</v>
      </c>
      <c r="B51" s="5" t="s">
        <v>157</v>
      </c>
      <c r="C51" s="5">
        <v>2025</v>
      </c>
      <c r="D51" s="5">
        <v>5</v>
      </c>
      <c r="E51" s="5">
        <v>120</v>
      </c>
      <c r="F51" s="5">
        <v>0</v>
      </c>
      <c r="G51" s="5" t="s">
        <v>158</v>
      </c>
      <c r="H51" s="5" t="s">
        <v>159</v>
      </c>
    </row>
    <row r="52" spans="1:8" ht="22.5" customHeight="1" x14ac:dyDescent="0.2">
      <c r="A52" s="4">
        <v>46132.924906747685</v>
      </c>
      <c r="B52" s="5" t="s">
        <v>160</v>
      </c>
      <c r="C52" s="5">
        <v>2023</v>
      </c>
      <c r="D52" s="5">
        <v>120</v>
      </c>
      <c r="E52" s="5">
        <v>30</v>
      </c>
      <c r="F52" s="5">
        <v>0</v>
      </c>
      <c r="G52" s="5" t="s">
        <v>161</v>
      </c>
      <c r="H52" s="5" t="s">
        <v>162</v>
      </c>
    </row>
    <row r="53" spans="1:8" ht="22.5" customHeight="1" x14ac:dyDescent="0.2">
      <c r="A53" s="4">
        <v>46133.233248969904</v>
      </c>
      <c r="B53" s="5" t="s">
        <v>163</v>
      </c>
      <c r="C53" s="5">
        <v>2024</v>
      </c>
      <c r="D53" s="5">
        <v>150</v>
      </c>
      <c r="E53" s="5">
        <v>250</v>
      </c>
      <c r="F53" s="5">
        <v>50</v>
      </c>
      <c r="G53" s="5" t="s">
        <v>164</v>
      </c>
      <c r="H53" s="5" t="s">
        <v>165</v>
      </c>
    </row>
    <row r="54" spans="1:8" ht="22.5" customHeight="1" x14ac:dyDescent="0.2">
      <c r="A54" s="4">
        <v>46133.23650186343</v>
      </c>
      <c r="B54" s="5" t="s">
        <v>166</v>
      </c>
      <c r="C54" s="5">
        <v>2025</v>
      </c>
      <c r="D54" s="5">
        <v>20</v>
      </c>
      <c r="E54" s="5">
        <v>120</v>
      </c>
      <c r="F54" s="5">
        <v>0</v>
      </c>
      <c r="G54" s="5" t="s">
        <v>167</v>
      </c>
      <c r="H54" s="5" t="s">
        <v>168</v>
      </c>
    </row>
    <row r="55" spans="1:8" ht="22.5" customHeight="1" x14ac:dyDescent="0.2">
      <c r="A55" s="4">
        <v>46133.245118622683</v>
      </c>
      <c r="B55" s="5" t="s">
        <v>169</v>
      </c>
      <c r="C55" s="5">
        <v>2024</v>
      </c>
      <c r="D55" s="5">
        <v>140</v>
      </c>
      <c r="E55" s="5">
        <v>0</v>
      </c>
      <c r="F55" s="5">
        <v>1</v>
      </c>
      <c r="G55" s="5" t="s">
        <v>170</v>
      </c>
      <c r="H55" s="5" t="s">
        <v>171</v>
      </c>
    </row>
    <row r="56" spans="1:8" ht="22.5" customHeight="1" x14ac:dyDescent="0.2">
      <c r="A56" s="4">
        <v>46133.275460173609</v>
      </c>
      <c r="B56" s="5" t="s">
        <v>172</v>
      </c>
      <c r="C56" s="5">
        <v>2025</v>
      </c>
      <c r="D56" s="5">
        <v>120</v>
      </c>
      <c r="E56" s="5">
        <v>15</v>
      </c>
      <c r="F56" s="5">
        <v>0</v>
      </c>
      <c r="G56" s="5" t="s">
        <v>173</v>
      </c>
      <c r="H56" s="5" t="s">
        <v>174</v>
      </c>
    </row>
    <row r="57" spans="1:8" ht="22.5" customHeight="1" x14ac:dyDescent="0.2">
      <c r="A57" s="4">
        <v>46133.315911597223</v>
      </c>
      <c r="B57" s="5" t="s">
        <v>175</v>
      </c>
      <c r="C57" s="5">
        <v>2025</v>
      </c>
      <c r="D57" s="5">
        <v>240</v>
      </c>
      <c r="E57" s="5">
        <v>120</v>
      </c>
      <c r="F57" s="5">
        <v>30</v>
      </c>
      <c r="G57" s="5" t="s">
        <v>176</v>
      </c>
      <c r="H57" s="5" t="s">
        <v>177</v>
      </c>
    </row>
    <row r="58" spans="1:8" ht="22.5" customHeight="1" x14ac:dyDescent="0.2">
      <c r="A58" s="4">
        <v>46133.322189722225</v>
      </c>
      <c r="B58" s="5" t="s">
        <v>178</v>
      </c>
      <c r="C58" s="5">
        <v>2025</v>
      </c>
      <c r="D58" s="5">
        <v>30</v>
      </c>
      <c r="E58" s="5">
        <v>90</v>
      </c>
      <c r="F58" s="5">
        <v>120</v>
      </c>
      <c r="G58" s="5" t="s">
        <v>179</v>
      </c>
      <c r="H58" s="5" t="s">
        <v>180</v>
      </c>
    </row>
    <row r="59" spans="1:8" ht="22.5" customHeight="1" x14ac:dyDescent="0.2">
      <c r="A59" s="4">
        <v>46133.342758483792</v>
      </c>
      <c r="B59" s="5" t="s">
        <v>181</v>
      </c>
      <c r="C59" s="5">
        <v>2024</v>
      </c>
      <c r="D59" s="5">
        <v>140</v>
      </c>
      <c r="E59" s="5">
        <v>60</v>
      </c>
      <c r="F59" s="5">
        <v>30</v>
      </c>
      <c r="G59" s="5" t="s">
        <v>182</v>
      </c>
      <c r="H59" s="5" t="s">
        <v>183</v>
      </c>
    </row>
    <row r="60" spans="1:8" ht="22.5" customHeight="1" x14ac:dyDescent="0.2">
      <c r="A60" s="4">
        <v>46133.47427810185</v>
      </c>
      <c r="B60" s="5" t="s">
        <v>184</v>
      </c>
      <c r="C60" s="5">
        <v>2025</v>
      </c>
      <c r="D60" s="5">
        <v>120</v>
      </c>
      <c r="E60" s="5">
        <v>0</v>
      </c>
      <c r="F60" s="5">
        <v>0</v>
      </c>
      <c r="G60" s="5" t="s">
        <v>185</v>
      </c>
      <c r="H60" s="5" t="s">
        <v>186</v>
      </c>
    </row>
    <row r="61" spans="1:8" ht="22.5" customHeight="1" x14ac:dyDescent="0.2">
      <c r="A61" s="4">
        <v>46133.666294178242</v>
      </c>
      <c r="B61" s="5" t="s">
        <v>187</v>
      </c>
      <c r="C61" s="5">
        <v>2024</v>
      </c>
      <c r="D61" s="5">
        <v>48</v>
      </c>
      <c r="E61" s="5">
        <v>49</v>
      </c>
      <c r="F61" s="5">
        <v>15</v>
      </c>
      <c r="G61" s="5" t="s">
        <v>188</v>
      </c>
      <c r="H61" s="5" t="s">
        <v>189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52"/>
  <sheetViews>
    <sheetView workbookViewId="0">
      <selection activeCell="A10" sqref="A10"/>
    </sheetView>
  </sheetViews>
  <sheetFormatPr defaultColWidth="12.5703125" defaultRowHeight="15.75" customHeight="1" x14ac:dyDescent="0.2"/>
  <cols>
    <col min="1" max="1" width="14.5703125" bestFit="1" customWidth="1"/>
    <col min="2" max="2" width="60.42578125" bestFit="1" customWidth="1"/>
    <col min="3" max="3" width="50.5703125" customWidth="1"/>
  </cols>
  <sheetData>
    <row r="1" spans="1:12" x14ac:dyDescent="0.2">
      <c r="A1" s="8" t="s">
        <v>2</v>
      </c>
      <c r="B1" s="8" t="s">
        <v>3</v>
      </c>
      <c r="C1" s="8" t="s">
        <v>4</v>
      </c>
      <c r="E1" s="8" t="s">
        <v>224</v>
      </c>
    </row>
    <row r="2" spans="1:12" x14ac:dyDescent="0.2">
      <c r="A2" s="6">
        <v>2024</v>
      </c>
      <c r="B2" s="6">
        <v>30</v>
      </c>
      <c r="C2" s="6">
        <v>90</v>
      </c>
      <c r="F2" s="6" t="s">
        <v>138</v>
      </c>
      <c r="G2" s="6" t="s">
        <v>162</v>
      </c>
      <c r="I2" s="6" t="s">
        <v>190</v>
      </c>
    </row>
    <row r="3" spans="1:12" x14ac:dyDescent="0.2">
      <c r="A3" s="6">
        <v>2024</v>
      </c>
      <c r="B3" s="6">
        <v>200</v>
      </c>
      <c r="C3" s="6">
        <v>60</v>
      </c>
      <c r="E3" s="6">
        <v>2024</v>
      </c>
      <c r="F3" s="7">
        <f t="shared" ref="F3:F4" ca="1" si="0">AVERAGEIF($A:$C,E3,$B:$B)</f>
        <v>144.10416666666666</v>
      </c>
      <c r="G3" s="7">
        <f t="shared" ref="G3:G4" ca="1" si="1">AVERAGEIF($A:$C,E3,$C:$C)</f>
        <v>115.54166666666667</v>
      </c>
      <c r="H3" s="7">
        <f t="shared" ref="H3:H4" si="2">COUNTIF(A:A,E3)</f>
        <v>24</v>
      </c>
      <c r="I3" s="7">
        <f t="shared" ref="I3:I4" ca="1" si="3">F3-G3</f>
        <v>28.562499999999986</v>
      </c>
    </row>
    <row r="4" spans="1:12" x14ac:dyDescent="0.2">
      <c r="A4" s="6">
        <v>2024</v>
      </c>
      <c r="B4" s="6">
        <v>420</v>
      </c>
      <c r="C4" s="6">
        <v>240</v>
      </c>
      <c r="E4" s="6">
        <v>2025</v>
      </c>
      <c r="F4" s="7">
        <f t="shared" ca="1" si="0"/>
        <v>64.851851851851848</v>
      </c>
      <c r="G4" s="7">
        <f t="shared" ca="1" si="1"/>
        <v>119.81481481481481</v>
      </c>
      <c r="H4" s="7">
        <f t="shared" si="2"/>
        <v>27</v>
      </c>
      <c r="I4" s="7">
        <f t="shared" ca="1" si="3"/>
        <v>-54.962962962962962</v>
      </c>
    </row>
    <row r="5" spans="1:12" x14ac:dyDescent="0.2">
      <c r="A5" s="6">
        <v>2024</v>
      </c>
      <c r="B5" s="6">
        <v>63.5</v>
      </c>
      <c r="C5" s="6">
        <v>97</v>
      </c>
    </row>
    <row r="6" spans="1:12" x14ac:dyDescent="0.2">
      <c r="A6" s="6">
        <v>2024</v>
      </c>
      <c r="B6" s="6">
        <v>240</v>
      </c>
      <c r="C6" s="6">
        <v>240</v>
      </c>
      <c r="E6" t="s">
        <v>226</v>
      </c>
      <c r="H6" t="s">
        <v>227</v>
      </c>
      <c r="K6" t="s">
        <v>228</v>
      </c>
    </row>
    <row r="7" spans="1:12" x14ac:dyDescent="0.2">
      <c r="A7" s="6">
        <v>2024</v>
      </c>
      <c r="B7" s="6">
        <v>20</v>
      </c>
      <c r="C7" s="6">
        <v>80</v>
      </c>
      <c r="E7" s="6">
        <f>_xlfn.VAR.S(B2:B25)</f>
        <v>11337.956068840578</v>
      </c>
      <c r="F7" s="7">
        <f>_xlfn.COVARIANCE.S(B2:B25,C2:C25)</f>
        <v>2380.3759057971033</v>
      </c>
      <c r="H7" s="7">
        <f>_xlfn.VAR.S(B26:B52)</f>
        <v>3211.2849002849002</v>
      </c>
      <c r="I7" s="7">
        <f>_xlfn.COVARIANCE.S(B26:B52,C26:C52)</f>
        <v>1407.6638176638176</v>
      </c>
      <c r="K7" cm="1">
        <f t="array" ref="K7:L8">MINVERSE(E7:F8/H3+H7:I8/H4)</f>
        <v>1.8123648898335635E-3</v>
      </c>
      <c r="L7">
        <v>-4.7412962459855587E-4</v>
      </c>
    </row>
    <row r="8" spans="1:12" x14ac:dyDescent="0.2">
      <c r="A8" s="6">
        <v>2024</v>
      </c>
      <c r="B8" s="6">
        <v>360</v>
      </c>
      <c r="C8" s="6">
        <v>180</v>
      </c>
      <c r="E8" s="7">
        <f>_xlfn.COVARIANCE.S(B2:B25,C2:C25)</f>
        <v>2380.3759057971033</v>
      </c>
      <c r="F8" s="7">
        <f>_xlfn.VAR.S(C2:C25)</f>
        <v>6275.9981884057961</v>
      </c>
      <c r="H8" s="7">
        <f>_xlfn.COVARIANCE.S(B26:B52,C26:C52)</f>
        <v>1407.6638176638176</v>
      </c>
      <c r="I8" s="7">
        <f>_xlfn.VAR.S(C26:C52)</f>
        <v>8556.6951566951575</v>
      </c>
      <c r="K8">
        <v>-4.7412962459855587E-4</v>
      </c>
      <c r="L8">
        <v>1.8529000361349589E-3</v>
      </c>
    </row>
    <row r="9" spans="1:12" x14ac:dyDescent="0.2">
      <c r="A9" s="6">
        <v>2024</v>
      </c>
      <c r="B9" s="6">
        <v>100</v>
      </c>
      <c r="C9" s="6">
        <v>300</v>
      </c>
    </row>
    <row r="10" spans="1:12" x14ac:dyDescent="0.2">
      <c r="A10" s="6">
        <v>2024</v>
      </c>
      <c r="B10" s="6">
        <v>360</v>
      </c>
      <c r="C10" s="6">
        <v>60</v>
      </c>
    </row>
    <row r="11" spans="1:12" x14ac:dyDescent="0.2">
      <c r="A11" s="6">
        <v>2024</v>
      </c>
      <c r="B11" s="6">
        <v>120</v>
      </c>
      <c r="C11" s="6">
        <v>90</v>
      </c>
      <c r="E11" t="s">
        <v>220</v>
      </c>
      <c r="F11" cm="1">
        <f t="array" aca="1" ref="F11" ca="1">MMULT(TRANSPOSE(I3:I4),MMULT(_xlfn.ANCHORARRAY(K7),I3:I4))</f>
        <v>8.5646861891703168</v>
      </c>
      <c r="G11" s="12" t="s">
        <v>225</v>
      </c>
      <c r="H11" t="s">
        <v>222</v>
      </c>
      <c r="I11">
        <f>_xlfn.CHISQ.INV(1-F12,2)</f>
        <v>5.9914645471079799</v>
      </c>
    </row>
    <row r="12" spans="1:12" x14ac:dyDescent="0.2">
      <c r="A12" s="6">
        <v>2024</v>
      </c>
      <c r="B12" s="6">
        <v>65</v>
      </c>
      <c r="C12" s="6">
        <v>6</v>
      </c>
      <c r="E12" t="s">
        <v>221</v>
      </c>
      <c r="F12">
        <v>0.05</v>
      </c>
    </row>
    <row r="13" spans="1:12" x14ac:dyDescent="0.2">
      <c r="A13" s="6">
        <v>2024</v>
      </c>
      <c r="B13" s="6">
        <v>100</v>
      </c>
      <c r="C13" s="6">
        <v>100</v>
      </c>
    </row>
    <row r="14" spans="1:12" x14ac:dyDescent="0.2">
      <c r="A14" s="6">
        <v>2024</v>
      </c>
      <c r="B14" s="6">
        <v>90</v>
      </c>
      <c r="C14" s="6">
        <v>90</v>
      </c>
    </row>
    <row r="15" spans="1:12" x14ac:dyDescent="0.2">
      <c r="A15" s="6">
        <v>2024</v>
      </c>
      <c r="B15" s="6">
        <v>150</v>
      </c>
      <c r="C15" s="6">
        <v>120</v>
      </c>
      <c r="E15" s="11" t="s">
        <v>223</v>
      </c>
    </row>
    <row r="16" spans="1:12" x14ac:dyDescent="0.2">
      <c r="A16" s="6">
        <v>2024</v>
      </c>
      <c r="B16" s="6">
        <v>80</v>
      </c>
      <c r="C16" s="6">
        <v>100</v>
      </c>
    </row>
    <row r="17" spans="1:3" x14ac:dyDescent="0.2">
      <c r="A17" s="6">
        <v>2024</v>
      </c>
      <c r="B17" s="6">
        <v>60</v>
      </c>
      <c r="C17" s="6">
        <v>120</v>
      </c>
    </row>
    <row r="18" spans="1:3" x14ac:dyDescent="0.2">
      <c r="A18" s="6">
        <v>2024</v>
      </c>
      <c r="B18" s="6">
        <v>120</v>
      </c>
      <c r="C18" s="6">
        <v>180</v>
      </c>
    </row>
    <row r="19" spans="1:3" x14ac:dyDescent="0.2">
      <c r="A19" s="6">
        <v>2024</v>
      </c>
      <c r="B19" s="6">
        <v>100</v>
      </c>
      <c r="C19" s="6">
        <v>100</v>
      </c>
    </row>
    <row r="20" spans="1:3" x14ac:dyDescent="0.2">
      <c r="A20" s="6">
        <v>2024</v>
      </c>
      <c r="B20" s="6">
        <v>120</v>
      </c>
      <c r="C20" s="6">
        <v>120</v>
      </c>
    </row>
    <row r="21" spans="1:3" x14ac:dyDescent="0.2">
      <c r="A21" s="6">
        <v>2024</v>
      </c>
      <c r="B21" s="6">
        <v>30</v>
      </c>
      <c r="C21" s="6">
        <v>90</v>
      </c>
    </row>
    <row r="22" spans="1:3" x14ac:dyDescent="0.2">
      <c r="A22" s="6">
        <v>2024</v>
      </c>
      <c r="B22" s="6">
        <v>200</v>
      </c>
      <c r="C22" s="6">
        <v>0</v>
      </c>
    </row>
    <row r="23" spans="1:3" x14ac:dyDescent="0.2">
      <c r="A23" s="6">
        <v>2024</v>
      </c>
      <c r="B23" s="6">
        <v>150</v>
      </c>
      <c r="C23" s="6">
        <v>250</v>
      </c>
    </row>
    <row r="24" spans="1:3" x14ac:dyDescent="0.2">
      <c r="A24" s="6">
        <v>2024</v>
      </c>
      <c r="B24" s="6">
        <v>140</v>
      </c>
      <c r="C24" s="6">
        <v>0</v>
      </c>
    </row>
    <row r="25" spans="1:3" x14ac:dyDescent="0.2">
      <c r="A25" s="6">
        <v>2024</v>
      </c>
      <c r="B25" s="6">
        <v>140</v>
      </c>
      <c r="C25" s="6">
        <v>60</v>
      </c>
    </row>
    <row r="26" spans="1:3" x14ac:dyDescent="0.2">
      <c r="A26" s="6">
        <v>2025</v>
      </c>
      <c r="B26" s="6">
        <v>75</v>
      </c>
      <c r="C26" s="6">
        <v>30</v>
      </c>
    </row>
    <row r="27" spans="1:3" x14ac:dyDescent="0.2">
      <c r="A27" s="6">
        <v>2025</v>
      </c>
      <c r="B27" s="6">
        <v>60</v>
      </c>
      <c r="C27" s="6">
        <v>180</v>
      </c>
    </row>
    <row r="28" spans="1:3" x14ac:dyDescent="0.2">
      <c r="A28" s="6">
        <v>2025</v>
      </c>
      <c r="B28" s="6">
        <v>5</v>
      </c>
      <c r="C28" s="6">
        <v>0</v>
      </c>
    </row>
    <row r="29" spans="1:3" x14ac:dyDescent="0.2">
      <c r="A29" s="6">
        <v>2025</v>
      </c>
      <c r="B29" s="6">
        <v>91</v>
      </c>
      <c r="C29" s="6">
        <v>115</v>
      </c>
    </row>
    <row r="30" spans="1:3" x14ac:dyDescent="0.2">
      <c r="A30" s="6">
        <v>2025</v>
      </c>
      <c r="B30" s="6">
        <v>0</v>
      </c>
      <c r="C30" s="6">
        <v>0</v>
      </c>
    </row>
    <row r="31" spans="1:3" x14ac:dyDescent="0.2">
      <c r="A31" s="6">
        <v>2025</v>
      </c>
      <c r="B31" s="6">
        <v>0</v>
      </c>
      <c r="C31" s="6">
        <v>180</v>
      </c>
    </row>
    <row r="32" spans="1:3" x14ac:dyDescent="0.2">
      <c r="A32" s="6">
        <v>2025</v>
      </c>
      <c r="B32" s="6">
        <v>90</v>
      </c>
      <c r="C32" s="6">
        <v>0</v>
      </c>
    </row>
    <row r="33" spans="1:3" x14ac:dyDescent="0.2">
      <c r="A33" s="6">
        <v>2025</v>
      </c>
      <c r="B33" s="6">
        <v>58</v>
      </c>
      <c r="C33" s="6">
        <v>260</v>
      </c>
    </row>
    <row r="34" spans="1:3" x14ac:dyDescent="0.2">
      <c r="A34" s="6">
        <v>2025</v>
      </c>
      <c r="B34" s="6">
        <v>20</v>
      </c>
      <c r="C34" s="6">
        <v>150</v>
      </c>
    </row>
    <row r="35" spans="1:3" x14ac:dyDescent="0.2">
      <c r="A35" s="6">
        <v>2025</v>
      </c>
      <c r="B35" s="6">
        <v>60</v>
      </c>
      <c r="C35" s="6">
        <v>180</v>
      </c>
    </row>
    <row r="36" spans="1:3" x14ac:dyDescent="0.2">
      <c r="A36" s="6">
        <v>2025</v>
      </c>
      <c r="B36" s="6">
        <v>60</v>
      </c>
      <c r="C36" s="6">
        <v>5</v>
      </c>
    </row>
    <row r="37" spans="1:3" x14ac:dyDescent="0.2">
      <c r="A37" s="6">
        <v>2025</v>
      </c>
      <c r="B37" s="6">
        <v>60</v>
      </c>
      <c r="C37" s="6">
        <v>90</v>
      </c>
    </row>
    <row r="38" spans="1:3" x14ac:dyDescent="0.2">
      <c r="A38" s="6">
        <v>2025</v>
      </c>
      <c r="B38" s="6">
        <v>100</v>
      </c>
      <c r="C38" s="6">
        <v>140</v>
      </c>
    </row>
    <row r="39" spans="1:3" x14ac:dyDescent="0.2">
      <c r="A39" s="6">
        <v>2025</v>
      </c>
      <c r="B39" s="6">
        <v>120</v>
      </c>
      <c r="C39" s="6">
        <v>300</v>
      </c>
    </row>
    <row r="40" spans="1:3" x14ac:dyDescent="0.2">
      <c r="A40" s="6">
        <v>2025</v>
      </c>
      <c r="B40" s="6">
        <v>60</v>
      </c>
      <c r="C40" s="6">
        <v>120</v>
      </c>
    </row>
    <row r="41" spans="1:3" x14ac:dyDescent="0.2">
      <c r="A41" s="6">
        <v>2025</v>
      </c>
      <c r="B41" s="6">
        <v>25</v>
      </c>
      <c r="C41" s="6">
        <v>0</v>
      </c>
    </row>
    <row r="42" spans="1:3" x14ac:dyDescent="0.2">
      <c r="A42" s="6">
        <v>2025</v>
      </c>
      <c r="B42" s="6">
        <v>60</v>
      </c>
      <c r="C42" s="6">
        <v>0</v>
      </c>
    </row>
    <row r="43" spans="1:3" x14ac:dyDescent="0.2">
      <c r="A43" s="6">
        <v>2025</v>
      </c>
      <c r="B43" s="6">
        <v>2</v>
      </c>
      <c r="C43" s="6">
        <v>150</v>
      </c>
    </row>
    <row r="44" spans="1:3" x14ac:dyDescent="0.2">
      <c r="A44" s="6">
        <v>2025</v>
      </c>
      <c r="B44" s="6">
        <v>60</v>
      </c>
      <c r="C44" s="6">
        <v>240</v>
      </c>
    </row>
    <row r="45" spans="1:3" x14ac:dyDescent="0.2">
      <c r="A45" s="6">
        <v>2025</v>
      </c>
      <c r="B45" s="6">
        <v>120</v>
      </c>
      <c r="C45" s="6">
        <v>180</v>
      </c>
    </row>
    <row r="46" spans="1:3" x14ac:dyDescent="0.2">
      <c r="A46" s="6">
        <v>2025</v>
      </c>
      <c r="B46" s="6">
        <v>180</v>
      </c>
      <c r="C46" s="6">
        <v>300</v>
      </c>
    </row>
    <row r="47" spans="1:3" x14ac:dyDescent="0.2">
      <c r="A47" s="6">
        <v>2025</v>
      </c>
      <c r="B47" s="6">
        <v>30</v>
      </c>
      <c r="C47" s="6">
        <v>150</v>
      </c>
    </row>
    <row r="48" spans="1:3" x14ac:dyDescent="0.2">
      <c r="A48" s="6">
        <v>2025</v>
      </c>
      <c r="B48" s="6">
        <v>5</v>
      </c>
      <c r="C48" s="6">
        <v>120</v>
      </c>
    </row>
    <row r="49" spans="1:3" x14ac:dyDescent="0.2">
      <c r="A49" s="6">
        <v>2025</v>
      </c>
      <c r="B49" s="6">
        <v>20</v>
      </c>
      <c r="C49" s="6">
        <v>120</v>
      </c>
    </row>
    <row r="50" spans="1:3" x14ac:dyDescent="0.2">
      <c r="A50" s="6">
        <v>2025</v>
      </c>
      <c r="B50" s="6">
        <v>120</v>
      </c>
      <c r="C50" s="6">
        <v>15</v>
      </c>
    </row>
    <row r="51" spans="1:3" x14ac:dyDescent="0.2">
      <c r="A51" s="6">
        <v>2025</v>
      </c>
      <c r="B51" s="6">
        <v>240</v>
      </c>
      <c r="C51" s="6">
        <v>120</v>
      </c>
    </row>
    <row r="52" spans="1:3" x14ac:dyDescent="0.2">
      <c r="A52" s="6">
        <v>2025</v>
      </c>
      <c r="B52" s="6">
        <v>30</v>
      </c>
      <c r="C52" s="6">
        <v>90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59"/>
  <sheetViews>
    <sheetView tabSelected="1" topLeftCell="D1" workbookViewId="0">
      <selection activeCell="M21" sqref="M21"/>
    </sheetView>
  </sheetViews>
  <sheetFormatPr defaultColWidth="12.5703125" defaultRowHeight="15.75" customHeight="1" x14ac:dyDescent="0.2"/>
  <cols>
    <col min="1" max="1" width="13" customWidth="1"/>
    <col min="2" max="2" width="53.28515625" customWidth="1"/>
    <col min="3" max="3" width="50.5703125" customWidth="1"/>
    <col min="4" max="4" width="47" customWidth="1"/>
    <col min="6" max="6" width="16.7109375" bestFit="1" customWidth="1"/>
  </cols>
  <sheetData>
    <row r="1" spans="1:12" x14ac:dyDescent="0.2">
      <c r="A1" s="8" t="s">
        <v>2</v>
      </c>
      <c r="B1" s="8" t="s">
        <v>3</v>
      </c>
      <c r="C1" s="8" t="s">
        <v>4</v>
      </c>
      <c r="D1" s="8" t="s">
        <v>5</v>
      </c>
      <c r="F1" s="6" t="s">
        <v>191</v>
      </c>
      <c r="I1" s="6" t="s">
        <v>192</v>
      </c>
      <c r="J1" s="7">
        <f>SUM(B:B)</f>
        <v>5929.5</v>
      </c>
      <c r="K1" s="6" t="s">
        <v>193</v>
      </c>
      <c r="L1" s="7">
        <f t="shared" ref="L1:L3" ca="1" si="0">SUMIF(A:B,F2,B:B)</f>
        <v>720</v>
      </c>
    </row>
    <row r="2" spans="1:12" x14ac:dyDescent="0.2">
      <c r="A2" s="6">
        <v>2023</v>
      </c>
      <c r="B2" s="6">
        <v>100</v>
      </c>
      <c r="C2" s="6">
        <v>140</v>
      </c>
      <c r="D2" s="6">
        <v>40</v>
      </c>
      <c r="F2" s="6">
        <v>2023</v>
      </c>
      <c r="G2" s="7">
        <f t="shared" ref="G2:G4" si="1">COUNTIF(A:A,F2)</f>
        <v>7</v>
      </c>
      <c r="I2" s="6" t="s">
        <v>194</v>
      </c>
      <c r="J2" s="7">
        <f>SUM(C:C)</f>
        <v>6688</v>
      </c>
      <c r="K2" s="6" t="s">
        <v>195</v>
      </c>
      <c r="L2" s="7">
        <f t="shared" ca="1" si="0"/>
        <v>3458.5</v>
      </c>
    </row>
    <row r="3" spans="1:12" x14ac:dyDescent="0.2">
      <c r="A3" s="6">
        <v>2023</v>
      </c>
      <c r="B3" s="6">
        <v>60</v>
      </c>
      <c r="C3" s="6">
        <v>240</v>
      </c>
      <c r="D3" s="6">
        <v>2</v>
      </c>
      <c r="F3" s="6">
        <v>2024</v>
      </c>
      <c r="G3" s="7">
        <f t="shared" si="1"/>
        <v>24</v>
      </c>
      <c r="I3" s="6" t="s">
        <v>196</v>
      </c>
      <c r="J3" s="7">
        <f>SUM(D:D)</f>
        <v>1383</v>
      </c>
      <c r="K3" s="6" t="s">
        <v>197</v>
      </c>
      <c r="L3" s="7">
        <f t="shared" ca="1" si="0"/>
        <v>1751</v>
      </c>
    </row>
    <row r="4" spans="1:12" x14ac:dyDescent="0.2">
      <c r="A4" s="6">
        <v>2023</v>
      </c>
      <c r="B4" s="6">
        <v>30</v>
      </c>
      <c r="C4" s="6">
        <v>80</v>
      </c>
      <c r="D4" s="6">
        <v>217</v>
      </c>
      <c r="F4" s="6">
        <v>2025</v>
      </c>
      <c r="G4" s="7">
        <f t="shared" si="1"/>
        <v>27</v>
      </c>
    </row>
    <row r="5" spans="1:12" x14ac:dyDescent="0.2">
      <c r="A5" s="6">
        <v>2023</v>
      </c>
      <c r="B5" s="6">
        <v>200</v>
      </c>
      <c r="C5" s="6">
        <v>20</v>
      </c>
      <c r="D5" s="6">
        <v>20</v>
      </c>
      <c r="F5" s="6" t="s">
        <v>198</v>
      </c>
      <c r="G5" s="7">
        <f>SUM(G2:G4)</f>
        <v>58</v>
      </c>
    </row>
    <row r="6" spans="1:12" x14ac:dyDescent="0.2">
      <c r="A6" s="6">
        <v>2023</v>
      </c>
      <c r="B6" s="6">
        <v>150</v>
      </c>
      <c r="C6" s="6">
        <v>110</v>
      </c>
      <c r="D6" s="6">
        <v>40</v>
      </c>
    </row>
    <row r="7" spans="1:12" ht="15.75" customHeight="1" x14ac:dyDescent="0.25">
      <c r="A7" s="6">
        <v>2023</v>
      </c>
      <c r="B7" s="6">
        <v>60</v>
      </c>
      <c r="C7" s="6">
        <v>60</v>
      </c>
      <c r="D7" s="6">
        <v>45</v>
      </c>
      <c r="F7" s="6" t="s">
        <v>199</v>
      </c>
      <c r="G7" s="7">
        <f>J1^2/G5</f>
        <v>606189.14224137936</v>
      </c>
      <c r="H7" s="9" t="s">
        <v>200</v>
      </c>
      <c r="I7" s="7">
        <f>SUMPRODUCT(B:B,B:B)-G7</f>
        <v>445017.10775862064</v>
      </c>
      <c r="J7" s="9" t="str">
        <f t="shared" ref="J7:J15" si="2">CONCATENATE("JHKP",RIGHT(F7,LEN(F7) - 2))</f>
        <v>JHKP11</v>
      </c>
      <c r="K7" s="7">
        <f ca="1">L1^2/G2-G7</f>
        <v>-532131.99938423652</v>
      </c>
    </row>
    <row r="8" spans="1:12" ht="15.75" customHeight="1" x14ac:dyDescent="0.25">
      <c r="A8" s="6">
        <v>2023</v>
      </c>
      <c r="B8" s="6">
        <v>120</v>
      </c>
      <c r="C8" s="6">
        <v>30</v>
      </c>
      <c r="D8" s="6">
        <v>0</v>
      </c>
      <c r="F8" s="6" t="s">
        <v>201</v>
      </c>
      <c r="G8" s="7">
        <f>J1*J2/G5</f>
        <v>683732.68965517241</v>
      </c>
      <c r="H8" s="9" t="s">
        <v>202</v>
      </c>
      <c r="I8" s="7">
        <f>SUMPRODUCT(B:B,C:C)-G8</f>
        <v>75511.810344827594</v>
      </c>
      <c r="J8" s="6" t="str">
        <f t="shared" si="2"/>
        <v>JHKP12</v>
      </c>
      <c r="K8" s="7">
        <f t="shared" ref="K8:K9" ca="1" si="3">L1*L2/G3-G8</f>
        <v>-579977.68965517241</v>
      </c>
    </row>
    <row r="9" spans="1:12" ht="15.75" customHeight="1" x14ac:dyDescent="0.25">
      <c r="A9" s="6">
        <v>2024</v>
      </c>
      <c r="B9" s="6">
        <v>30</v>
      </c>
      <c r="C9" s="6">
        <v>90</v>
      </c>
      <c r="D9" s="6">
        <v>0</v>
      </c>
      <c r="F9" s="6" t="s">
        <v>203</v>
      </c>
      <c r="G9" s="7">
        <f>J1*J3/G5</f>
        <v>141387.9051724138</v>
      </c>
      <c r="H9" s="9" t="s">
        <v>204</v>
      </c>
      <c r="I9" s="7">
        <f>SUMPRODUCT(B:B,D:D)-G9</f>
        <v>18511.094827586203</v>
      </c>
      <c r="J9" s="7" t="str">
        <f t="shared" si="2"/>
        <v>JHKP13</v>
      </c>
      <c r="K9" s="7">
        <f t="shared" ca="1" si="3"/>
        <v>82902.224457215838</v>
      </c>
    </row>
    <row r="10" spans="1:12" ht="15.75" customHeight="1" x14ac:dyDescent="0.25">
      <c r="A10" s="6">
        <v>2024</v>
      </c>
      <c r="B10" s="6">
        <v>200</v>
      </c>
      <c r="C10" s="6">
        <v>60</v>
      </c>
      <c r="D10" s="6">
        <v>0</v>
      </c>
      <c r="F10" s="6" t="s">
        <v>205</v>
      </c>
      <c r="G10" s="7">
        <f>J2*J1/G5</f>
        <v>683732.68965517241</v>
      </c>
      <c r="H10" s="9" t="s">
        <v>206</v>
      </c>
      <c r="I10" s="7">
        <f>SUMPRODUCT(C:C,B:B)-G10</f>
        <v>75511.810344827594</v>
      </c>
      <c r="J10" s="7" t="str">
        <f t="shared" si="2"/>
        <v>JHKP21</v>
      </c>
      <c r="K10" s="7">
        <f ca="1">L2*L1/G2-G10</f>
        <v>-328001.26108374383</v>
      </c>
    </row>
    <row r="11" spans="1:12" ht="15.75" customHeight="1" x14ac:dyDescent="0.25">
      <c r="A11" s="6">
        <v>2024</v>
      </c>
      <c r="B11" s="6">
        <v>420</v>
      </c>
      <c r="C11" s="6">
        <v>240</v>
      </c>
      <c r="D11" s="6">
        <v>60</v>
      </c>
      <c r="F11" s="6" t="s">
        <v>207</v>
      </c>
      <c r="G11" s="7">
        <f>J2^2/G5</f>
        <v>771195.58620689658</v>
      </c>
      <c r="H11" s="9" t="s">
        <v>208</v>
      </c>
      <c r="I11" s="7">
        <f>SUMPRODUCT(C:C,C:C)-G11</f>
        <v>404224.41379310342</v>
      </c>
      <c r="J11" s="7" t="str">
        <f t="shared" si="2"/>
        <v>JHKP22</v>
      </c>
      <c r="K11" s="7">
        <f ca="1">L2^2/G3-G11</f>
        <v>-272811.32579022989</v>
      </c>
    </row>
    <row r="12" spans="1:12" ht="15.75" customHeight="1" x14ac:dyDescent="0.25">
      <c r="A12" s="6">
        <v>2024</v>
      </c>
      <c r="B12" s="6">
        <v>63.5</v>
      </c>
      <c r="C12" s="6">
        <v>97</v>
      </c>
      <c r="D12" s="6">
        <v>0</v>
      </c>
      <c r="F12" s="6" t="s">
        <v>209</v>
      </c>
      <c r="G12" s="7">
        <f>J2*J3/G5</f>
        <v>159474.20689655171</v>
      </c>
      <c r="H12" s="9" t="s">
        <v>210</v>
      </c>
      <c r="I12" s="7">
        <f>SUMPRODUCT(C:C,D:D)-G12</f>
        <v>12320.79310344829</v>
      </c>
      <c r="J12" s="7" t="str">
        <f t="shared" si="2"/>
        <v>JHKP23</v>
      </c>
      <c r="K12" s="7">
        <f ca="1">L2*L3/G4-G12</f>
        <v>64815.922733077925</v>
      </c>
    </row>
    <row r="13" spans="1:12" ht="15.75" customHeight="1" x14ac:dyDescent="0.25">
      <c r="A13" s="6">
        <v>2024</v>
      </c>
      <c r="B13" s="6">
        <v>240</v>
      </c>
      <c r="C13" s="6">
        <v>240</v>
      </c>
      <c r="D13" s="6">
        <v>0</v>
      </c>
      <c r="F13" s="6" t="s">
        <v>211</v>
      </c>
      <c r="G13" s="7">
        <f>J3*J1/G5</f>
        <v>141387.9051724138</v>
      </c>
      <c r="H13" s="9" t="s">
        <v>212</v>
      </c>
      <c r="I13" s="7">
        <f>SUMPRODUCT(D:D,B:B)-G13</f>
        <v>18511.094827586203</v>
      </c>
      <c r="J13" s="7" t="str">
        <f t="shared" si="2"/>
        <v>JHKP31</v>
      </c>
      <c r="K13" s="7">
        <f ca="1">L3*L1/G2-G13</f>
        <v>38714.951970443333</v>
      </c>
    </row>
    <row r="14" spans="1:12" ht="15.75" customHeight="1" x14ac:dyDescent="0.25">
      <c r="A14" s="6">
        <v>2024</v>
      </c>
      <c r="B14" s="6">
        <v>20</v>
      </c>
      <c r="C14" s="6">
        <v>80</v>
      </c>
      <c r="D14" s="6">
        <v>0</v>
      </c>
      <c r="F14" s="6" t="s">
        <v>213</v>
      </c>
      <c r="G14" s="7">
        <f>J3*J2/G5</f>
        <v>159474.20689655171</v>
      </c>
      <c r="H14" s="9" t="s">
        <v>214</v>
      </c>
      <c r="I14" s="7">
        <f>SUMPRODUCT(D:D,C:C)-G14</f>
        <v>12320.79310344829</v>
      </c>
      <c r="J14" s="7" t="str">
        <f t="shared" si="2"/>
        <v>JHKP32</v>
      </c>
      <c r="K14" s="7">
        <f ca="1">L3*L2/G3-G14</f>
        <v>92852.188936781633</v>
      </c>
    </row>
    <row r="15" spans="1:12" ht="15.75" customHeight="1" x14ac:dyDescent="0.25">
      <c r="A15" s="6">
        <v>2024</v>
      </c>
      <c r="B15" s="6">
        <v>360</v>
      </c>
      <c r="C15" s="6">
        <v>180</v>
      </c>
      <c r="D15" s="6">
        <v>0</v>
      </c>
      <c r="F15" s="6" t="s">
        <v>215</v>
      </c>
      <c r="G15" s="7">
        <f>J3^2/G5</f>
        <v>32977.396551724138</v>
      </c>
      <c r="H15" s="9" t="s">
        <v>216</v>
      </c>
      <c r="I15" s="7">
        <f>SUMPRODUCT(D:D,D:D)-G15</f>
        <v>87845.603448275855</v>
      </c>
      <c r="J15" s="7" t="str">
        <f t="shared" si="2"/>
        <v>JHKP33</v>
      </c>
      <c r="K15" s="7">
        <f ca="1">L3*L3/G4-G15</f>
        <v>80578.196040868468</v>
      </c>
    </row>
    <row r="16" spans="1:12" x14ac:dyDescent="0.2">
      <c r="A16" s="6">
        <v>2024</v>
      </c>
      <c r="B16" s="6">
        <v>100</v>
      </c>
      <c r="C16" s="6">
        <v>300</v>
      </c>
      <c r="D16" s="6">
        <v>30</v>
      </c>
    </row>
    <row r="17" spans="1:9" x14ac:dyDescent="0.2">
      <c r="A17" s="6">
        <v>2024</v>
      </c>
      <c r="B17" s="6">
        <v>360</v>
      </c>
      <c r="C17" s="6">
        <v>60</v>
      </c>
      <c r="D17" s="6">
        <v>10</v>
      </c>
      <c r="F17" s="10"/>
      <c r="G17" s="10"/>
      <c r="H17" s="10"/>
    </row>
    <row r="18" spans="1:9" x14ac:dyDescent="0.2">
      <c r="A18" s="6">
        <v>2024</v>
      </c>
      <c r="B18" s="6">
        <v>120</v>
      </c>
      <c r="C18" s="6">
        <v>90</v>
      </c>
      <c r="D18" s="6">
        <v>60</v>
      </c>
      <c r="F18" s="7" t="s">
        <v>217</v>
      </c>
      <c r="G18" s="7">
        <f t="shared" ref="G18:G20" ca="1" si="4">K7</f>
        <v>-532131.99938423652</v>
      </c>
      <c r="H18" s="7">
        <f t="shared" ref="H18:H20" ca="1" si="5">K10</f>
        <v>-328001.26108374383</v>
      </c>
      <c r="I18" s="7">
        <f t="shared" ref="I18:I20" ca="1" si="6">K13</f>
        <v>38714.951970443333</v>
      </c>
    </row>
    <row r="19" spans="1:9" x14ac:dyDescent="0.2">
      <c r="A19" s="6">
        <v>2024</v>
      </c>
      <c r="B19" s="6">
        <v>65</v>
      </c>
      <c r="C19" s="6">
        <v>6</v>
      </c>
      <c r="D19" s="6">
        <v>0</v>
      </c>
      <c r="G19" s="7">
        <f t="shared" ca="1" si="4"/>
        <v>-579977.68965517241</v>
      </c>
      <c r="H19" s="7">
        <f t="shared" ca="1" si="5"/>
        <v>-272811.32579022989</v>
      </c>
      <c r="I19" s="7">
        <f t="shared" ca="1" si="6"/>
        <v>92852.188936781633</v>
      </c>
    </row>
    <row r="20" spans="1:9" x14ac:dyDescent="0.2">
      <c r="A20" s="6">
        <v>2024</v>
      </c>
      <c r="B20" s="6">
        <v>100</v>
      </c>
      <c r="C20" s="6">
        <v>100</v>
      </c>
      <c r="D20" s="6">
        <v>100</v>
      </c>
      <c r="G20" s="7">
        <f t="shared" ca="1" si="4"/>
        <v>82902.224457215838</v>
      </c>
      <c r="H20" s="7">
        <f t="shared" ca="1" si="5"/>
        <v>64815.922733077925</v>
      </c>
      <c r="I20" s="7">
        <f t="shared" ca="1" si="6"/>
        <v>80578.196040868468</v>
      </c>
    </row>
    <row r="21" spans="1:9" x14ac:dyDescent="0.2">
      <c r="A21" s="6">
        <v>2024</v>
      </c>
      <c r="B21" s="6">
        <v>90</v>
      </c>
      <c r="C21" s="6">
        <v>90</v>
      </c>
      <c r="D21" s="6">
        <v>30</v>
      </c>
      <c r="F21" s="7" t="s">
        <v>218</v>
      </c>
      <c r="G21" s="7">
        <f t="shared" ref="G21:I21" ca="1" si="7">G24-G18</f>
        <v>977149.10714285716</v>
      </c>
      <c r="H21" s="7">
        <f t="shared" ca="1" si="7"/>
        <v>403513.07142857142</v>
      </c>
      <c r="I21" s="7">
        <f t="shared" ca="1" si="7"/>
        <v>-20203.85714285713</v>
      </c>
    </row>
    <row r="22" spans="1:9" x14ac:dyDescent="0.2">
      <c r="A22" s="6">
        <v>2024</v>
      </c>
      <c r="B22" s="6">
        <v>150</v>
      </c>
      <c r="C22" s="6">
        <v>120</v>
      </c>
      <c r="D22" s="6">
        <v>10</v>
      </c>
      <c r="G22" s="7">
        <f t="shared" ref="G22:I22" ca="1" si="8">G25-G19</f>
        <v>655489.5</v>
      </c>
      <c r="H22" s="7">
        <f t="shared" ca="1" si="8"/>
        <v>677035.73958333326</v>
      </c>
      <c r="I22" s="7">
        <f t="shared" ca="1" si="8"/>
        <v>-80531.395833333343</v>
      </c>
    </row>
    <row r="23" spans="1:9" x14ac:dyDescent="0.2">
      <c r="A23" s="6">
        <v>2024</v>
      </c>
      <c r="B23" s="6">
        <v>80</v>
      </c>
      <c r="C23" s="6">
        <v>100</v>
      </c>
      <c r="D23" s="6">
        <v>20</v>
      </c>
      <c r="G23" s="7">
        <f t="shared" ref="G23:I23" ca="1" si="9">G26-G20</f>
        <v>-64391.129629629635</v>
      </c>
      <c r="H23" s="7">
        <f t="shared" ca="1" si="9"/>
        <v>-52495.129629629635</v>
      </c>
      <c r="I23" s="7">
        <f t="shared" ca="1" si="9"/>
        <v>7267.4074074073869</v>
      </c>
    </row>
    <row r="24" spans="1:9" x14ac:dyDescent="0.2">
      <c r="A24" s="6">
        <v>2024</v>
      </c>
      <c r="B24" s="6">
        <v>60</v>
      </c>
      <c r="C24" s="6">
        <v>120</v>
      </c>
      <c r="D24" s="6">
        <v>0</v>
      </c>
      <c r="F24" s="7" t="s">
        <v>219</v>
      </c>
      <c r="G24" s="7">
        <f t="shared" ref="G24:G26" si="10">I7</f>
        <v>445017.10775862064</v>
      </c>
      <c r="H24" s="7">
        <f t="shared" ref="H24:H26" si="11">I10</f>
        <v>75511.810344827594</v>
      </c>
      <c r="I24" s="7">
        <f t="shared" ref="I24:I26" si="12">I13</f>
        <v>18511.094827586203</v>
      </c>
    </row>
    <row r="25" spans="1:9" x14ac:dyDescent="0.2">
      <c r="A25" s="6">
        <v>2024</v>
      </c>
      <c r="B25" s="6">
        <v>120</v>
      </c>
      <c r="C25" s="6">
        <v>180</v>
      </c>
      <c r="D25" s="6">
        <v>45</v>
      </c>
      <c r="G25" s="7">
        <f t="shared" si="10"/>
        <v>75511.810344827594</v>
      </c>
      <c r="H25" s="7">
        <f t="shared" si="11"/>
        <v>404224.41379310342</v>
      </c>
      <c r="I25" s="7">
        <f t="shared" si="12"/>
        <v>12320.79310344829</v>
      </c>
    </row>
    <row r="26" spans="1:9" x14ac:dyDescent="0.2">
      <c r="A26" s="6">
        <v>2024</v>
      </c>
      <c r="B26" s="6">
        <v>100</v>
      </c>
      <c r="C26" s="6">
        <v>100</v>
      </c>
      <c r="D26" s="6">
        <v>100</v>
      </c>
      <c r="G26" s="7">
        <f t="shared" si="10"/>
        <v>18511.094827586203</v>
      </c>
      <c r="H26" s="7">
        <f t="shared" si="11"/>
        <v>12320.79310344829</v>
      </c>
      <c r="I26" s="7">
        <f t="shared" si="12"/>
        <v>87845.603448275855</v>
      </c>
    </row>
    <row r="27" spans="1:9" x14ac:dyDescent="0.2">
      <c r="A27" s="6">
        <v>2024</v>
      </c>
      <c r="B27" s="6">
        <v>120</v>
      </c>
      <c r="C27" s="6">
        <v>120</v>
      </c>
      <c r="D27" s="6">
        <v>0</v>
      </c>
    </row>
    <row r="28" spans="1:9" ht="12.75" x14ac:dyDescent="0.2">
      <c r="A28" s="6">
        <v>2024</v>
      </c>
      <c r="B28" s="6">
        <v>30</v>
      </c>
      <c r="C28" s="6">
        <v>90</v>
      </c>
      <c r="D28" s="6">
        <v>0</v>
      </c>
    </row>
    <row r="29" spans="1:9" x14ac:dyDescent="0.2">
      <c r="A29" s="6">
        <v>2024</v>
      </c>
      <c r="B29" s="6">
        <v>200</v>
      </c>
      <c r="C29" s="6">
        <v>0</v>
      </c>
      <c r="D29" s="6">
        <v>60</v>
      </c>
    </row>
    <row r="30" spans="1:9" x14ac:dyDescent="0.2">
      <c r="A30" s="6">
        <v>2024</v>
      </c>
      <c r="B30" s="6">
        <v>150</v>
      </c>
      <c r="C30" s="6">
        <v>250</v>
      </c>
      <c r="D30" s="6">
        <v>50</v>
      </c>
    </row>
    <row r="31" spans="1:9" x14ac:dyDescent="0.2">
      <c r="A31" s="6">
        <v>2024</v>
      </c>
      <c r="B31" s="6">
        <v>140</v>
      </c>
      <c r="C31" s="6">
        <v>0</v>
      </c>
      <c r="D31" s="6">
        <v>1</v>
      </c>
    </row>
    <row r="32" spans="1:9" x14ac:dyDescent="0.2">
      <c r="A32" s="6">
        <v>2024</v>
      </c>
      <c r="B32" s="6">
        <v>140</v>
      </c>
      <c r="C32" s="6">
        <v>60</v>
      </c>
      <c r="D32" s="6">
        <v>30</v>
      </c>
    </row>
    <row r="33" spans="1:11" x14ac:dyDescent="0.2">
      <c r="A33" s="6">
        <v>2025</v>
      </c>
      <c r="B33" s="6">
        <v>75</v>
      </c>
      <c r="C33" s="6">
        <v>30</v>
      </c>
      <c r="D33" s="6">
        <v>0</v>
      </c>
    </row>
    <row r="34" spans="1:11" x14ac:dyDescent="0.2">
      <c r="A34" s="6">
        <v>2025</v>
      </c>
      <c r="B34" s="6">
        <v>60</v>
      </c>
      <c r="C34" s="6">
        <v>180</v>
      </c>
      <c r="D34" s="6">
        <v>0</v>
      </c>
    </row>
    <row r="35" spans="1:11" x14ac:dyDescent="0.2">
      <c r="A35" s="6">
        <v>2025</v>
      </c>
      <c r="B35" s="6">
        <v>5</v>
      </c>
      <c r="C35" s="6">
        <v>0</v>
      </c>
      <c r="D35" s="6">
        <v>0</v>
      </c>
    </row>
    <row r="36" spans="1:11" x14ac:dyDescent="0.2">
      <c r="A36" s="6">
        <v>2025</v>
      </c>
      <c r="B36" s="6">
        <v>91</v>
      </c>
      <c r="C36" s="6">
        <v>115</v>
      </c>
      <c r="D36" s="6">
        <v>45</v>
      </c>
    </row>
    <row r="37" spans="1:11" ht="12.75" x14ac:dyDescent="0.2">
      <c r="A37" s="6">
        <v>2025</v>
      </c>
      <c r="B37" s="6">
        <v>0</v>
      </c>
      <c r="C37" s="6">
        <v>0</v>
      </c>
      <c r="D37" s="6">
        <v>0</v>
      </c>
    </row>
    <row r="38" spans="1:11" ht="12.75" x14ac:dyDescent="0.2">
      <c r="A38" s="6">
        <v>2025</v>
      </c>
      <c r="B38" s="6">
        <v>0</v>
      </c>
      <c r="C38" s="6">
        <v>180</v>
      </c>
      <c r="D38" s="6">
        <v>0</v>
      </c>
    </row>
    <row r="39" spans="1:11" ht="12.75" x14ac:dyDescent="0.2">
      <c r="A39" s="6">
        <v>2025</v>
      </c>
      <c r="B39" s="6">
        <v>90</v>
      </c>
      <c r="C39" s="6">
        <v>0</v>
      </c>
      <c r="D39" s="6">
        <v>20</v>
      </c>
    </row>
    <row r="40" spans="1:11" ht="12.75" x14ac:dyDescent="0.2">
      <c r="A40" s="6">
        <v>2025</v>
      </c>
      <c r="B40" s="6">
        <v>58</v>
      </c>
      <c r="C40" s="6">
        <v>260</v>
      </c>
      <c r="D40" s="6">
        <v>23</v>
      </c>
    </row>
    <row r="41" spans="1:11" ht="12.75" x14ac:dyDescent="0.2">
      <c r="A41" s="6">
        <v>2025</v>
      </c>
      <c r="B41" s="6">
        <v>20</v>
      </c>
      <c r="C41" s="6">
        <v>150</v>
      </c>
      <c r="D41" s="6">
        <v>0</v>
      </c>
    </row>
    <row r="42" spans="1:11" ht="12.75" x14ac:dyDescent="0.2">
      <c r="A42" s="6">
        <v>2025</v>
      </c>
      <c r="B42" s="6">
        <v>60</v>
      </c>
      <c r="C42" s="6">
        <v>180</v>
      </c>
      <c r="D42" s="6">
        <v>0</v>
      </c>
      <c r="F42" s="11" t="s">
        <v>229</v>
      </c>
      <c r="G42" s="7">
        <f ca="1">MDETERM(G21:I23)/MDETERM(G24:I26)</f>
        <v>4.3727416774059634E-2</v>
      </c>
      <c r="H42" s="11"/>
      <c r="I42" s="11"/>
      <c r="J42" s="11"/>
      <c r="K42" s="11"/>
    </row>
    <row r="43" spans="1:11" ht="12.75" x14ac:dyDescent="0.2">
      <c r="A43" s="6">
        <v>2025</v>
      </c>
      <c r="B43" s="6">
        <v>60</v>
      </c>
      <c r="C43" s="6">
        <v>5</v>
      </c>
      <c r="D43" s="6">
        <v>0</v>
      </c>
      <c r="F43" s="11" t="s">
        <v>230</v>
      </c>
      <c r="G43" s="11">
        <f ca="1">((G5-3-1)/3)*(1-SQRT(G42))/SQRT(G42)</f>
        <v>68.078679131312128</v>
      </c>
      <c r="H43" s="11"/>
      <c r="I43" s="11" t="s">
        <v>232</v>
      </c>
      <c r="J43" s="11">
        <v>6</v>
      </c>
      <c r="K43" s="11"/>
    </row>
    <row r="44" spans="1:11" ht="12.75" x14ac:dyDescent="0.2">
      <c r="A44" s="6">
        <v>2025</v>
      </c>
      <c r="B44" s="6">
        <v>60</v>
      </c>
      <c r="C44" s="6">
        <v>90</v>
      </c>
      <c r="D44" s="6">
        <v>0</v>
      </c>
      <c r="F44" s="11" t="s">
        <v>231</v>
      </c>
      <c r="G44" s="11">
        <f>_xlfn.F.INV.RT(0.05,J43,J44)</f>
        <v>2.1852927425078361</v>
      </c>
      <c r="H44" s="11"/>
      <c r="I44" s="11" t="s">
        <v>233</v>
      </c>
      <c r="J44" s="11">
        <v>106</v>
      </c>
      <c r="K44" s="11"/>
    </row>
    <row r="45" spans="1:11" ht="12.75" x14ac:dyDescent="0.2">
      <c r="A45" s="6">
        <v>2025</v>
      </c>
      <c r="B45" s="6">
        <v>100</v>
      </c>
      <c r="C45" s="6">
        <v>140</v>
      </c>
      <c r="D45" s="6">
        <v>50</v>
      </c>
    </row>
    <row r="46" spans="1:11" ht="12.75" x14ac:dyDescent="0.2">
      <c r="A46" s="6">
        <v>2025</v>
      </c>
      <c r="B46" s="6">
        <v>120</v>
      </c>
      <c r="C46" s="6">
        <v>300</v>
      </c>
      <c r="D46" s="6">
        <v>0</v>
      </c>
    </row>
    <row r="47" spans="1:11" ht="12.75" x14ac:dyDescent="0.2">
      <c r="A47" s="6">
        <v>2025</v>
      </c>
      <c r="B47" s="6">
        <v>60</v>
      </c>
      <c r="C47" s="6">
        <v>120</v>
      </c>
      <c r="D47" s="6">
        <v>0</v>
      </c>
    </row>
    <row r="48" spans="1:11" ht="12.75" x14ac:dyDescent="0.2">
      <c r="A48" s="6">
        <v>2025</v>
      </c>
      <c r="B48" s="6">
        <v>25</v>
      </c>
      <c r="C48" s="6">
        <v>0</v>
      </c>
      <c r="D48" s="6">
        <v>0</v>
      </c>
    </row>
    <row r="49" spans="1:4" ht="12.75" x14ac:dyDescent="0.2">
      <c r="A49" s="6">
        <v>2025</v>
      </c>
      <c r="B49" s="6">
        <v>60</v>
      </c>
      <c r="C49" s="6">
        <v>0</v>
      </c>
      <c r="D49" s="6">
        <v>15</v>
      </c>
    </row>
    <row r="50" spans="1:4" ht="12.75" x14ac:dyDescent="0.2">
      <c r="A50" s="6">
        <v>2025</v>
      </c>
      <c r="B50" s="6">
        <v>2</v>
      </c>
      <c r="C50" s="6">
        <v>150</v>
      </c>
      <c r="D50" s="6">
        <v>0</v>
      </c>
    </row>
    <row r="51" spans="1:4" ht="12.75" x14ac:dyDescent="0.2">
      <c r="A51" s="6">
        <v>2025</v>
      </c>
      <c r="B51" s="6">
        <v>60</v>
      </c>
      <c r="C51" s="6">
        <v>240</v>
      </c>
      <c r="D51" s="6">
        <v>0</v>
      </c>
    </row>
    <row r="52" spans="1:4" ht="12.75" x14ac:dyDescent="0.2">
      <c r="A52" s="6">
        <v>2025</v>
      </c>
      <c r="B52" s="6">
        <v>120</v>
      </c>
      <c r="C52" s="6">
        <v>180</v>
      </c>
      <c r="D52" s="6">
        <v>20</v>
      </c>
    </row>
    <row r="53" spans="1:4" ht="12.75" x14ac:dyDescent="0.2">
      <c r="A53" s="6">
        <v>2025</v>
      </c>
      <c r="B53" s="6">
        <v>180</v>
      </c>
      <c r="C53" s="6">
        <v>300</v>
      </c>
      <c r="D53" s="6">
        <v>90</v>
      </c>
    </row>
    <row r="54" spans="1:4" ht="12.75" x14ac:dyDescent="0.2">
      <c r="A54" s="6">
        <v>2025</v>
      </c>
      <c r="B54" s="6">
        <v>30</v>
      </c>
      <c r="C54" s="6">
        <v>150</v>
      </c>
      <c r="D54" s="6">
        <v>0</v>
      </c>
    </row>
    <row r="55" spans="1:4" ht="12.75" x14ac:dyDescent="0.2">
      <c r="A55" s="6">
        <v>2025</v>
      </c>
      <c r="B55" s="6">
        <v>5</v>
      </c>
      <c r="C55" s="6">
        <v>120</v>
      </c>
      <c r="D55" s="6">
        <v>0</v>
      </c>
    </row>
    <row r="56" spans="1:4" ht="12.75" x14ac:dyDescent="0.2">
      <c r="A56" s="6">
        <v>2025</v>
      </c>
      <c r="B56" s="6">
        <v>20</v>
      </c>
      <c r="C56" s="6">
        <v>120</v>
      </c>
      <c r="D56" s="6">
        <v>0</v>
      </c>
    </row>
    <row r="57" spans="1:4" ht="12.75" x14ac:dyDescent="0.2">
      <c r="A57" s="6">
        <v>2025</v>
      </c>
      <c r="B57" s="6">
        <v>120</v>
      </c>
      <c r="C57" s="6">
        <v>15</v>
      </c>
      <c r="D57" s="6">
        <v>0</v>
      </c>
    </row>
    <row r="58" spans="1:4" ht="12.75" x14ac:dyDescent="0.2">
      <c r="A58" s="6">
        <v>2025</v>
      </c>
      <c r="B58" s="6">
        <v>240</v>
      </c>
      <c r="C58" s="6">
        <v>120</v>
      </c>
      <c r="D58" s="6">
        <v>30</v>
      </c>
    </row>
    <row r="59" spans="1:4" ht="12.75" x14ac:dyDescent="0.2">
      <c r="A59" s="6">
        <v>2025</v>
      </c>
      <c r="B59" s="6">
        <v>30</v>
      </c>
      <c r="C59" s="6">
        <v>90</v>
      </c>
      <c r="D59" s="6">
        <v>120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 Responses 1</vt:lpstr>
      <vt:lpstr>T2</vt:lpstr>
      <vt:lpstr>MANOVA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UIN RMS</cp:lastModifiedBy>
  <dcterms:created xsi:type="dcterms:W3CDTF">2026-04-21T11:51:39Z</dcterms:created>
  <dcterms:modified xsi:type="dcterms:W3CDTF">2026-04-21T11:51:39Z</dcterms:modified>
</cp:coreProperties>
</file>